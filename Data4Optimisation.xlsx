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ad-its.credit-agricole.fr\amundi_milan\Homedirs\meloncel\@Config\Desktop\Tasks\Potfolio Analyzer\"/>
    </mc:Choice>
  </mc:AlternateContent>
  <xr:revisionPtr revIDLastSave="0" documentId="13_ncr:1_{A7A6B433-489D-4050-81D0-04D97875222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sset_config" sheetId="6" r:id="rId1"/>
    <sheet name="A" sheetId="30" r:id="rId2"/>
    <sheet name="B" sheetId="31" r:id="rId3"/>
    <sheet name="timeseries" sheetId="34" r:id="rId4"/>
    <sheet name="cov" sheetId="40" r:id="rId5"/>
    <sheet name="corr" sheetId="41" r:id="rId6"/>
    <sheet name="Sheet1" sheetId="36" r:id="rId7"/>
    <sheet name="SGD mkt cap" sheetId="39" r:id="rId8"/>
  </sheets>
  <externalReferences>
    <externalReference r:id="rId9"/>
    <externalReference r:id="rId10"/>
    <externalReference r:id="rId11"/>
  </externalReferences>
  <definedNames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ADVANCE" hidden="1">#REF!</definedName>
    <definedName name="__123Graph_ABSYSASST" hidden="1">#REF!</definedName>
    <definedName name="__123Graph_ACBASSETS" hidden="1">#REF!</definedName>
    <definedName name="__123Graph_AGFS.3" hidden="1">#REF!</definedName>
    <definedName name="__123Graph_AGRAPH1" hidden="1">#REF!</definedName>
    <definedName name="__123Graph_AGRAPH3" hidden="1">#REF!</definedName>
    <definedName name="__123Graph_AIBRD_LEND" hidden="1">#REF!</definedName>
    <definedName name="__123Graph_AMIMPMAC" hidden="1">#REF!</definedName>
    <definedName name="__123Graph_AMINFEX" hidden="1">#REF!</definedName>
    <definedName name="__123Graph_AMONIMP" hidden="1">#REF!</definedName>
    <definedName name="__123Graph_AMULTVELO" hidden="1">#REF!</definedName>
    <definedName name="__123Graph_APIPELINE" hidden="1">#REF!</definedName>
    <definedName name="__123Graph_ARATE" hidden="1">#REF!</definedName>
    <definedName name="__123Graph_AREER" hidden="1">#REF!</definedName>
    <definedName name="__123Graph_ARESCOV" hidden="1">#REF!</definedName>
    <definedName name="__123Graph_ATAX1" hidden="1">#REF!</definedName>
    <definedName name="__123Graph_AXRATE" hidden="1">#REF!</definedName>
    <definedName name="__123Graph_BBSYSASST" hidden="1">#REF!</definedName>
    <definedName name="__123Graph_BCBASSETS" hidden="1">#REF!</definedName>
    <definedName name="__123Graph_BGDP" hidden="1">#REF!</definedName>
    <definedName name="__123Graph_BGFS.1" hidden="1">#REF!</definedName>
    <definedName name="__123Graph_BGFS.3" hidden="1">#REF!</definedName>
    <definedName name="__123Graph_BIBRD_LEND" hidden="1">#REF!</definedName>
    <definedName name="__123Graph_BMONIMP" hidden="1">#REF!</definedName>
    <definedName name="__123Graph_BMULTVELO" hidden="1">#REF!</definedName>
    <definedName name="__123Graph_BPIPELINE" hidden="1">#REF!</definedName>
    <definedName name="__123Graph_BREER" hidden="1">#REF!</definedName>
    <definedName name="__123Graph_BRESCOV" hidden="1">#REF!</definedName>
    <definedName name="__123Graph_BTAX1" hidden="1">#REF!</definedName>
    <definedName name="__123Graph_CBSYSASST" hidden="1">#REF!</definedName>
    <definedName name="__123Graph_CGFS.3" hidden="1">#REF!</definedName>
    <definedName name="__123Graph_CGRAPH1" hidden="1">#REF!</definedName>
    <definedName name="__123Graph_CREER" hidden="1">#REF!</definedName>
    <definedName name="__123Graph_CRESCOV" hidden="1">#REF!</definedName>
    <definedName name="__123Graph_CTAX1" hidden="1">#REF!</definedName>
    <definedName name="__123Graph_CXRATE" hidden="1">#REF!</definedName>
    <definedName name="__123Graph_DGRAPH1" hidden="1">#REF!</definedName>
    <definedName name="__123Graph_DTAX1" hidden="1">#REF!</definedName>
    <definedName name="__123Graph_EGRAPH1" hidden="1">#REF!</definedName>
    <definedName name="__123Graph_ETAX1" hidden="1">#REF!</definedName>
    <definedName name="__123Graph_FGRAPH1" hidden="1">#REF!</definedName>
    <definedName name="__123Graph_XCURRENCY" hidden="1">#REF!</definedName>
    <definedName name="__123Graph_XGFS.1" hidden="1">#REF!</definedName>
    <definedName name="__123Graph_XGFS.3" hidden="1">#REF!</definedName>
    <definedName name="__123Graph_XGRAPH1" hidden="1">#REF!</definedName>
    <definedName name="__123Graph_XIBRD_LEND" hidden="1">#REF!</definedName>
    <definedName name="__123Graph_XTAX1" hidden="1">#REF!</definedName>
    <definedName name="__123Graph_XXRATE" hidden="1">#REF!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1__" hidden="1">#REF!</definedName>
    <definedName name="__APW_RESTORE_DATA1002__" hidden="1">#REF!</definedName>
    <definedName name="__APW_RESTORE_DATA1003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8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3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8__" hidden="1">#REF!</definedName>
    <definedName name="__APW_RESTORE_DATA1029__" hidden="1">#REF!</definedName>
    <definedName name="__APW_RESTORE_DATA103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3__" hidden="1">#REF!</definedName>
    <definedName name="__APW_RESTORE_DATA1034__" hidden="1">#REF!</definedName>
    <definedName name="__APW_RESTORE_DATA1035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0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5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0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5__" hidden="1">#REF!</definedName>
    <definedName name="__APW_RESTORE_DATA1066__" hidden="1">#REF!</definedName>
    <definedName name="__APW_RESTORE_DATA1067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__" hidden="1">#REF!</definedName>
    <definedName name="__APW_RESTORE_DATA1080__" hidden="1">#REF!</definedName>
    <definedName name="__APW_RESTORE_DATA1081__" hidden="1">#REF!</definedName>
    <definedName name="__APW_RESTORE_DATA1082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7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2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7__" hidden="1">#REF!</definedName>
    <definedName name="__APW_RESTORE_DATA1098__" hidden="1">#REF!</definedName>
    <definedName name="__APW_RESTORE_DATA1099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4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19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4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29__" hidden="1">#REF!</definedName>
    <definedName name="__APW_RESTORE_DATA113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1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6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1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6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4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69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4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79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5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5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0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2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7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2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7__" hidden="1">#REF!</definedName>
    <definedName name="__APW_RESTORE_DATA1338__" hidden="1">#REF!</definedName>
    <definedName name="__APW_RESTORE_DATA1339__" hidden="1">#REF!</definedName>
    <definedName name="__APW_RESTORE_DATA134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3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8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3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8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4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89__" hidden="1">#REF!</definedName>
    <definedName name="__APW_RESTORE_DATA139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4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399__" hidden="1">#REF!</definedName>
    <definedName name="__APW_RESTORE_DATA14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5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0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5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0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6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1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6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1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7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2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7__" hidden="1">#REF!</definedName>
    <definedName name="__APW_RESTORE_DATA1488__" hidden="1">#REF!</definedName>
    <definedName name="__APW_RESTORE_DATA1489__" hidden="1">#REF!</definedName>
    <definedName name="__APW_RESTORE_DATA149__" hidden="1">#REF!</definedName>
    <definedName name="__APW_RESTORE_DATA1490__" hidden="1">#REF!</definedName>
    <definedName name="__APW_RESTORE_DATA1491__" hidden="1">#REF!</definedName>
    <definedName name="__APW_RESTORE_DATA1492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8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3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8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3__" hidden="1">#REF!</definedName>
    <definedName name="__APW_RESTORE_DATA1524__" hidden="1">#REF!</definedName>
    <definedName name="__APW_RESTORE_DATA1525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29__" hidden="1">#REF!</definedName>
    <definedName name="__APW_RESTORE_DATA153__" hidden="1">#REF!</definedName>
    <definedName name="__APW_RESTORE_DATA1530__" hidden="1">#REF!</definedName>
    <definedName name="__APW_RESTORE_DATA1531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8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3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8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3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79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4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89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4__" hidden="1">#REF!</definedName>
    <definedName name="__APW_RESTORE_DATA1595__" hidden="1">#REF!</definedName>
    <definedName name="__APW_RESTORE_DATA1596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1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6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1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6__" hidden="1">#REF!</definedName>
    <definedName name="__APW_RESTORE_DATA1627__" hidden="1">#REF!</definedName>
    <definedName name="__APW_RESTORE_DATA1628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3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8__" hidden="1">#REF!</definedName>
    <definedName name="__APW_RESTORE_DATA1649__" hidden="1">#REF!</definedName>
    <definedName name="__APW_RESTORE_DATA165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3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8__" hidden="1">#REF!</definedName>
    <definedName name="__APW_RESTORE_DATA1659__" hidden="1">#REF!</definedName>
    <definedName name="__APW_RESTORE_DATA166__" hidden="1">#REF!</definedName>
    <definedName name="__APW_RESTORE_DATA1660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5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0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5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0__" hidden="1">#REF!</definedName>
    <definedName name="__APW_RESTORE_DATA1691__" hidden="1">#REF!</definedName>
    <definedName name="__APW_RESTORE_DATA1692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7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2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7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2__" hidden="1">#REF!</definedName>
    <definedName name="__APW_RESTORE_DATA1723__" hidden="1">#REF!</definedName>
    <definedName name="__APW_RESTORE_DATA1724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39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4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49__" hidden="1">#REF!</definedName>
    <definedName name="__APW_RESTORE_DATA175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4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6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1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6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1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9__" hidden="1">#REF!</definedName>
    <definedName name="__APW_RESTORE_DATA19__" hidden="1">#REF!</definedName>
    <definedName name="__APW_RESTORE_DATA190__" hidden="1">#REF!</definedName>
    <definedName name="__APW_RESTORE_DATA191__" hidden="1">#REF!</definedName>
    <definedName name="__APW_RESTORE_DATA192__" hidden="1">#REF!</definedName>
    <definedName name="__APW_RESTORE_DATA193__" hidden="1">#REF!</definedName>
    <definedName name="__APW_RESTORE_DATA194__" hidden="1">#REF!</definedName>
    <definedName name="__APW_RESTORE_DATA195__" hidden="1">#REF!</definedName>
    <definedName name="__APW_RESTORE_DATA196__" hidden="1">#REF!</definedName>
    <definedName name="__APW_RESTORE_DATA197__" hidden="1">#REF!</definedName>
    <definedName name="__APW_RESTORE_DATA198__" hidden="1">#REF!</definedName>
    <definedName name="__APW_RESTORE_DATA1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1__" hidden="1">#REF!</definedName>
    <definedName name="__APW_RESTORE_DATA202__" hidden="1">#REF!</definedName>
    <definedName name="__APW_RESTORE_DATA203__" hidden="1">#REF!</definedName>
    <definedName name="__APW_RESTORE_DATA204__" hidden="1">#REF!</definedName>
    <definedName name="__APW_RESTORE_DATA205__" hidden="1">#REF!</definedName>
    <definedName name="__APW_RESTORE_DATA206__" hidden="1">#REF!</definedName>
    <definedName name="__APW_RESTORE_DATA207__" hidden="1">#REF!</definedName>
    <definedName name="__APW_RESTORE_DATA208__" hidden="1">#REF!</definedName>
    <definedName name="__APW_RESTORE_DATA209__" hidden="1">#REF!</definedName>
    <definedName name="__APW_RESTORE_DATA21__" hidden="1">#REF!</definedName>
    <definedName name="__APW_RESTORE_DATA210__" hidden="1">#REF!</definedName>
    <definedName name="__APW_RESTORE_DATA211__" hidden="1">#REF!</definedName>
    <definedName name="__APW_RESTORE_DATA212__" hidden="1">#REF!</definedName>
    <definedName name="__APW_RESTORE_DATA213__" hidden="1">#REF!</definedName>
    <definedName name="__APW_RESTORE_DATA214__" hidden="1">#REF!</definedName>
    <definedName name="__APW_RESTORE_DATA215__" hidden="1">#REF!</definedName>
    <definedName name="__APW_RESTORE_DATA216__" hidden="1">#REF!</definedName>
    <definedName name="__APW_RESTORE_DATA217__" hidden="1">#REF!</definedName>
    <definedName name="__APW_RESTORE_DATA218__" hidden="1">#REF!</definedName>
    <definedName name="__APW_RESTORE_DATA219__" hidden="1">#REF!</definedName>
    <definedName name="__APW_RESTORE_DATA22__" hidden="1">#REF!</definedName>
    <definedName name="__APW_RESTORE_DATA220__" hidden="1">#REF!</definedName>
    <definedName name="__APW_RESTORE_DATA221__" hidden="1">#REF!</definedName>
    <definedName name="__APW_RESTORE_DATA222__" hidden="1">#REF!</definedName>
    <definedName name="__APW_RESTORE_DATA223__" hidden="1">#REF!</definedName>
    <definedName name="__APW_RESTORE_DATA224__" hidden="1">#REF!</definedName>
    <definedName name="__APW_RESTORE_DATA225__" hidden="1">#REF!</definedName>
    <definedName name="__APW_RESTORE_DATA226__" hidden="1">#REF!</definedName>
    <definedName name="__APW_RESTORE_DATA227__" hidden="1">#REF!</definedName>
    <definedName name="__APW_RESTORE_DATA228__" hidden="1">#REF!</definedName>
    <definedName name="__APW_RESTORE_DATA229__" hidden="1">#REF!</definedName>
    <definedName name="__APW_RESTORE_DATA23__" hidden="1">#REF!</definedName>
    <definedName name="__APW_RESTORE_DATA230__" hidden="1">#REF!</definedName>
    <definedName name="__APW_RESTORE_DATA231__" hidden="1">#REF!</definedName>
    <definedName name="__APW_RESTORE_DATA232__" hidden="1">#REF!</definedName>
    <definedName name="__APW_RESTORE_DATA233__" hidden="1">#REF!</definedName>
    <definedName name="__APW_RESTORE_DATA234__" hidden="1">#REF!</definedName>
    <definedName name="__APW_RESTORE_DATA235__" hidden="1">#REF!</definedName>
    <definedName name="__APW_RESTORE_DATA236__" hidden="1">#REF!</definedName>
    <definedName name="__APW_RESTORE_DATA237__" hidden="1">#REF!</definedName>
    <definedName name="__APW_RESTORE_DATA238__" hidden="1">#REF!</definedName>
    <definedName name="__APW_RESTORE_DATA239__" hidden="1">#REF!</definedName>
    <definedName name="__APW_RESTORE_DATA24__" hidden="1">#REF!</definedName>
    <definedName name="__APW_RESTORE_DATA240__" hidden="1">#REF!</definedName>
    <definedName name="__APW_RESTORE_DATA241__" hidden="1">#REF!</definedName>
    <definedName name="__APW_RESTORE_DATA242__" hidden="1">#REF!</definedName>
    <definedName name="__APW_RESTORE_DATA243__" hidden="1">#REF!</definedName>
    <definedName name="__APW_RESTORE_DATA244__" hidden="1">#REF!</definedName>
    <definedName name="__APW_RESTORE_DATA245__" hidden="1">#REF!</definedName>
    <definedName name="__APW_RESTORE_DATA246__" hidden="1">#REF!</definedName>
    <definedName name="__APW_RESTORE_DATA247__" hidden="1">#REF!</definedName>
    <definedName name="__APW_RESTORE_DATA248__" hidden="1">#REF!</definedName>
    <definedName name="__APW_RESTORE_DATA249__" hidden="1">#REF!</definedName>
    <definedName name="__APW_RESTORE_DATA25__" hidden="1">#REF!</definedName>
    <definedName name="__APW_RESTORE_DATA250__" hidden="1">#REF!</definedName>
    <definedName name="__APW_RESTORE_DATA251__" hidden="1">#REF!</definedName>
    <definedName name="__APW_RESTORE_DATA2512__" hidden="1">#REF!</definedName>
    <definedName name="__APW_RESTORE_DATA2513__" hidden="1">#REF!</definedName>
    <definedName name="__APW_RESTORE_DATA2514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19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4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29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5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0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5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0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2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7__" hidden="1">#REF!</definedName>
    <definedName name="__APW_RESTORE_DATA2578__" hidden="1">#REF!</definedName>
    <definedName name="__APW_RESTORE_DATA2579__" hidden="1">#REF!</definedName>
    <definedName name="__APW_RESTORE_DATA258__" hidden="1">#REF!</definedName>
    <definedName name="__APW_RESTORE_DATA2580__" hidden="1">#REF!</definedName>
    <definedName name="__APW_RESTORE_DATA2581__" hidden="1">#REF!</definedName>
    <definedName name="__APW_RESTORE_DATA2582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7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3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8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3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8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4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39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4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49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5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0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5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__" hidden="1">#REF!</definedName>
    <definedName name="__APW_RESTORE_DATA2680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6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1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6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1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7__" hidden="1">#REF!</definedName>
    <definedName name="__APW_RESTORE_DATA2728__" hidden="1">#REF!</definedName>
    <definedName name="__APW_RESTORE_DATA2729__" hidden="1">#REF!</definedName>
    <definedName name="__APW_RESTORE_DATA273__" hidden="1">#REF!</definedName>
    <definedName name="__APW_RESTORE_DATA2730__" hidden="1">#REF!</definedName>
    <definedName name="__APW_RESTORE_DATA2731__" hidden="1">#REF!</definedName>
    <definedName name="__APW_RESTORE_DATA2732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7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2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8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3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8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3__" hidden="1">#REF!</definedName>
    <definedName name="__APW_RESTORE_DATA2774__" hidden="1">#REF!</definedName>
    <definedName name="__APW_RESTORE_DATA2775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79__" hidden="1">#REF!</definedName>
    <definedName name="__APW_RESTORE_DATA278__" hidden="1">#REF!</definedName>
    <definedName name="__APW_RESTORE_DATA2780__" hidden="1">#REF!</definedName>
    <definedName name="__APW_RESTORE_DATA2781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8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3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8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3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2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7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2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7__" hidden="1">#REF!</definedName>
    <definedName name="__APW_RESTORE_DATA2848__" hidden="1">#REF!</definedName>
    <definedName name="__APW_RESTORE_DATA2849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4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69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4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79__" hidden="1">#REF!</definedName>
    <definedName name="__APW_RESTORE_DATA288__" hidden="1">#REF!</definedName>
    <definedName name="__APW_RESTORE_DATA2880__" hidden="1">#REF!</definedName>
    <definedName name="__APW_RESTORE_DATA2881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6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__" hidden="1">#REF!</definedName>
    <definedName name="__APW_RESTORE_DATA290__" hidden="1">#REF!</definedName>
    <definedName name="__APW_RESTORE_DATA2900__" hidden="1">#REF!</definedName>
    <definedName name="__APW_RESTORE_DATA2901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6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1__" hidden="1">#REF!</definedName>
    <definedName name="__APW_RESTORE_DATA2912__" hidden="1">#REF!</definedName>
    <definedName name="__APW_RESTORE_DATA2913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8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3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8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3__" hidden="1">#REF!</definedName>
    <definedName name="__APW_RESTORE_DATA2944__" hidden="1">#REF!</definedName>
    <definedName name="__APW_RESTORE_DATA2945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0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5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0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5__" hidden="1">#REF!</definedName>
    <definedName name="__APW_RESTORE_DATA2976__" hidden="1">#REF!</definedName>
    <definedName name="__APW_RESTORE_DATA2977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2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7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__" hidden="1">#REF!</definedName>
    <definedName name="__APW_RESTORE_DATA3000__" hidden="1">#REF!</definedName>
    <definedName name="__APW_RESTORE_DATA3001__" hidden="1">#REF!</definedName>
    <definedName name="__APW_RESTORE_DATA3002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7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5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0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5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0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34__" hidden="1">#REF!</definedName>
    <definedName name="__APW_RESTORE_DATA3135__" hidden="1">#REF!</definedName>
    <definedName name="__APW_RESTORE_DATA3136__" hidden="1">#REF!</definedName>
    <definedName name="__APW_RESTORE_DATA3137__" hidden="1">#REF!</definedName>
    <definedName name="__APW_RESTORE_DATA3138__" hidden="1">#REF!</definedName>
    <definedName name="__APW_RESTORE_DATA3139__" hidden="1">#REF!</definedName>
    <definedName name="__APW_RESTORE_DATA314__" hidden="1">#REF!</definedName>
    <definedName name="__APW_RESTORE_DATA3140__" hidden="1">#REF!</definedName>
    <definedName name="__APW_RESTORE_DATA3141__" hidden="1">#REF!</definedName>
    <definedName name="__APW_RESTORE_DATA3142__" hidden="1">#REF!</definedName>
    <definedName name="__APW_RESTORE_DATA3143__" hidden="1">#REF!</definedName>
    <definedName name="__APW_RESTORE_DATA3144__" hidden="1">#REF!</definedName>
    <definedName name="__APW_RESTORE_DATA3145__" hidden="1">#REF!</definedName>
    <definedName name="__APW_RESTORE_DATA3146__" hidden="1">#REF!</definedName>
    <definedName name="__APW_RESTORE_DATA3147__" hidden="1">#REF!</definedName>
    <definedName name="__APW_RESTORE_DATA3148__" hidden="1">#REF!</definedName>
    <definedName name="__APW_RESTORE_DATA3149__" hidden="1">#REF!</definedName>
    <definedName name="__APW_RESTORE_DATA315__" hidden="1">#REF!</definedName>
    <definedName name="__APW_RESTORE_DATA3150__" hidden="1">#REF!</definedName>
    <definedName name="__APW_RESTORE_DATA3151__" hidden="1">#REF!</definedName>
    <definedName name="__APW_RESTORE_DATA3152__" hidden="1">#REF!</definedName>
    <definedName name="__APW_RESTORE_DATA3153__" hidden="1">#REF!</definedName>
    <definedName name="__APW_RESTORE_DATA3154__" hidden="1">#REF!</definedName>
    <definedName name="__APW_RESTORE_DATA3155__" hidden="1">#REF!</definedName>
    <definedName name="__APW_RESTORE_DATA3156__" hidden="1">#REF!</definedName>
    <definedName name="__APW_RESTORE_DATA3157__" hidden="1">#REF!</definedName>
    <definedName name="__APW_RESTORE_DATA3158__" hidden="1">#REF!</definedName>
    <definedName name="__APW_RESTORE_DATA3159__" hidden="1">#REF!</definedName>
    <definedName name="__APW_RESTORE_DATA316__" hidden="1">#REF!</definedName>
    <definedName name="__APW_RESTORE_DATA3160__" hidden="1">#REF!</definedName>
    <definedName name="__APW_RESTORE_DATA3161__" hidden="1">#REF!</definedName>
    <definedName name="__APW_RESTORE_DATA3162__" hidden="1">#REF!</definedName>
    <definedName name="__APW_RESTORE_DATA3163__" hidden="1">#REF!</definedName>
    <definedName name="__APW_RESTORE_DATA3164__" hidden="1">#REF!</definedName>
    <definedName name="__APW_RESTORE_DATA3165__" hidden="1">#REF!</definedName>
    <definedName name="__APW_RESTORE_DATA3166__" hidden="1">#REF!</definedName>
    <definedName name="__APW_RESTORE_DATA3167__" hidden="1">#REF!</definedName>
    <definedName name="__APW_RESTORE_DATA3168__" hidden="1">#REF!</definedName>
    <definedName name="__APW_RESTORE_DATA3169__" hidden="1">#REF!</definedName>
    <definedName name="__APW_RESTORE_DATA317__" hidden="1">#REF!</definedName>
    <definedName name="__APW_RESTORE_DATA3170__" hidden="1">#REF!</definedName>
    <definedName name="__APW_RESTORE_DATA3171__" hidden="1">#REF!</definedName>
    <definedName name="__APW_RESTORE_DATA3172__" hidden="1">#REF!</definedName>
    <definedName name="__APW_RESTORE_DATA3173__" hidden="1">#REF!</definedName>
    <definedName name="__APW_RESTORE_DATA3174__" hidden="1">#REF!</definedName>
    <definedName name="__APW_RESTORE_DATA3175__" hidden="1">#REF!</definedName>
    <definedName name="__APW_RESTORE_DATA3176__" hidden="1">#REF!</definedName>
    <definedName name="__APW_RESTORE_DATA3177__" hidden="1">#REF!</definedName>
    <definedName name="__APW_RESTORE_DATA3178__" hidden="1">#REF!</definedName>
    <definedName name="__APW_RESTORE_DATA3179__" hidden="1">#REF!</definedName>
    <definedName name="__APW_RESTORE_DATA318__" hidden="1">#REF!</definedName>
    <definedName name="__APW_RESTORE_DATA3180__" hidden="1">#REF!</definedName>
    <definedName name="__APW_RESTORE_DATA3181__" hidden="1">#REF!</definedName>
    <definedName name="__APW_RESTORE_DATA3182__" hidden="1">#REF!</definedName>
    <definedName name="__APW_RESTORE_DATA3183__" hidden="1">#REF!</definedName>
    <definedName name="__APW_RESTORE_DATA3184__" hidden="1">#REF!</definedName>
    <definedName name="__APW_RESTORE_DATA3185__" hidden="1">#REF!</definedName>
    <definedName name="__APW_RESTORE_DATA3186__" hidden="1">#REF!</definedName>
    <definedName name="__APW_RESTORE_DATA3187__" hidden="1">#REF!</definedName>
    <definedName name="__APW_RESTORE_DATA3188__" hidden="1">#REF!</definedName>
    <definedName name="__APW_RESTORE_DATA3189__" hidden="1">#REF!</definedName>
    <definedName name="__APW_RESTORE_DATA319__" hidden="1">#REF!</definedName>
    <definedName name="__APW_RESTORE_DATA3190__" hidden="1">#REF!</definedName>
    <definedName name="__APW_RESTORE_DATA3191__" hidden="1">#REF!</definedName>
    <definedName name="__APW_RESTORE_DATA3192__" hidden="1">#REF!</definedName>
    <definedName name="__APW_RESTORE_DATA3193__" hidden="1">#REF!</definedName>
    <definedName name="__APW_RESTORE_DATA3194__" hidden="1">#REF!</definedName>
    <definedName name="__APW_RESTORE_DATA3195__" hidden="1">#REF!</definedName>
    <definedName name="__APW_RESTORE_DATA3196__" hidden="1">#REF!</definedName>
    <definedName name="__APW_RESTORE_DATA3197__" hidden="1">#REF!</definedName>
    <definedName name="__APW_RESTORE_DATA3198__" hidden="1">#REF!</definedName>
    <definedName name="__APW_RESTORE_DATA3199__" hidden="1">#REF!</definedName>
    <definedName name="__APW_RESTORE_DATA32__" hidden="1">#REF!</definedName>
    <definedName name="__APW_RESTORE_DATA320__" hidden="1">#REF!</definedName>
    <definedName name="__APW_RESTORE_DATA3200__" hidden="1">#REF!</definedName>
    <definedName name="__APW_RESTORE_DATA3201__" hidden="1">#REF!</definedName>
    <definedName name="__APW_RESTORE_DATA3202__" hidden="1">#REF!</definedName>
    <definedName name="__APW_RESTORE_DATA3203__" hidden="1">#REF!</definedName>
    <definedName name="__APW_RESTORE_DATA3204__" hidden="1">#REF!</definedName>
    <definedName name="__APW_RESTORE_DATA3205__" hidden="1">#REF!</definedName>
    <definedName name="__APW_RESTORE_DATA3206__" hidden="1">#REF!</definedName>
    <definedName name="__APW_RESTORE_DATA3207__" hidden="1">#REF!</definedName>
    <definedName name="__APW_RESTORE_DATA3208__" hidden="1">#REF!</definedName>
    <definedName name="__APW_RESTORE_DATA3209__" hidden="1">#REF!</definedName>
    <definedName name="__APW_RESTORE_DATA321__" hidden="1">#REF!</definedName>
    <definedName name="__APW_RESTORE_DATA3210__" hidden="1">#REF!</definedName>
    <definedName name="__APW_RESTORE_DATA3211__" hidden="1">#REF!</definedName>
    <definedName name="__APW_RESTORE_DATA3212__" hidden="1">#REF!</definedName>
    <definedName name="__APW_RESTORE_DATA3213__" hidden="1">#REF!</definedName>
    <definedName name="__APW_RESTORE_DATA3214__" hidden="1">#REF!</definedName>
    <definedName name="__APW_RESTORE_DATA3215__" hidden="1">#REF!</definedName>
    <definedName name="__APW_RESTORE_DATA3216__" hidden="1">#REF!</definedName>
    <definedName name="__APW_RESTORE_DATA3217__" hidden="1">#REF!</definedName>
    <definedName name="__APW_RESTORE_DATA3218__" hidden="1">#REF!</definedName>
    <definedName name="__APW_RESTORE_DATA3219__" hidden="1">#REF!</definedName>
    <definedName name="__APW_RESTORE_DATA322__" hidden="1">#REF!</definedName>
    <definedName name="__APW_RESTORE_DATA3220__" hidden="1">#REF!</definedName>
    <definedName name="__APW_RESTORE_DATA3221__" hidden="1">#REF!</definedName>
    <definedName name="__APW_RESTORE_DATA3222__" hidden="1">#REF!</definedName>
    <definedName name="__APW_RESTORE_DATA3223__" hidden="1">#REF!</definedName>
    <definedName name="__APW_RESTORE_DATA3224__" hidden="1">#REF!</definedName>
    <definedName name="__APW_RESTORE_DATA3225__" hidden="1">#REF!</definedName>
    <definedName name="__APW_RESTORE_DATA3226__" hidden="1">#REF!</definedName>
    <definedName name="__APW_RESTORE_DATA3227__" hidden="1">#REF!</definedName>
    <definedName name="__APW_RESTORE_DATA3228__" hidden="1">#REF!</definedName>
    <definedName name="__APW_RESTORE_DATA3229__" hidden="1">#REF!</definedName>
    <definedName name="__APW_RESTORE_DATA323__" hidden="1">#REF!</definedName>
    <definedName name="__APW_RESTORE_DATA3230__" hidden="1">#REF!</definedName>
    <definedName name="__APW_RESTORE_DATA3231__" hidden="1">#REF!</definedName>
    <definedName name="__APW_RESTORE_DATA3232__" hidden="1">#REF!</definedName>
    <definedName name="__APW_RESTORE_DATA3233__" hidden="1">#REF!</definedName>
    <definedName name="__APW_RESTORE_DATA3234__" hidden="1">#REF!</definedName>
    <definedName name="__APW_RESTORE_DATA3235__" hidden="1">#REF!</definedName>
    <definedName name="__APW_RESTORE_DATA3236__" hidden="1">#REF!</definedName>
    <definedName name="__APW_RESTORE_DATA3237__" hidden="1">#REF!</definedName>
    <definedName name="__APW_RESTORE_DATA3238__" hidden="1">#REF!</definedName>
    <definedName name="__APW_RESTORE_DATA3239__" hidden="1">#REF!</definedName>
    <definedName name="__APW_RESTORE_DATA324__" hidden="1">#REF!</definedName>
    <definedName name="__APW_RESTORE_DATA3240__" hidden="1">#REF!</definedName>
    <definedName name="__APW_RESTORE_DATA3241__" hidden="1">#REF!</definedName>
    <definedName name="__APW_RESTORE_DATA3242__" hidden="1">#REF!</definedName>
    <definedName name="__APW_RESTORE_DATA3243__" hidden="1">#REF!</definedName>
    <definedName name="__APW_RESTORE_DATA3244__" hidden="1">#REF!</definedName>
    <definedName name="__APW_RESTORE_DATA3245__" hidden="1">#REF!</definedName>
    <definedName name="__APW_RESTORE_DATA3246__" hidden="1">#REF!</definedName>
    <definedName name="__APW_RESTORE_DATA3247__" hidden="1">#REF!</definedName>
    <definedName name="__APW_RESTORE_DATA3248__" hidden="1">#REF!</definedName>
    <definedName name="__APW_RESTORE_DATA3249__" hidden="1">#REF!</definedName>
    <definedName name="__APW_RESTORE_DATA325__" hidden="1">#REF!</definedName>
    <definedName name="__APW_RESTORE_DATA3250__" hidden="1">#REF!</definedName>
    <definedName name="__APW_RESTORE_DATA3251__" hidden="1">#REF!</definedName>
    <definedName name="__APW_RESTORE_DATA3252__" hidden="1">#REF!</definedName>
    <definedName name="__APW_RESTORE_DATA3253__" hidden="1">#REF!</definedName>
    <definedName name="__APW_RESTORE_DATA3254__" hidden="1">#REF!</definedName>
    <definedName name="__APW_RESTORE_DATA3255__" hidden="1">#REF!</definedName>
    <definedName name="__APW_RESTORE_DATA3256__" hidden="1">#REF!</definedName>
    <definedName name="__APW_RESTORE_DATA3257__" hidden="1">#REF!</definedName>
    <definedName name="__APW_RESTORE_DATA3258__" hidden="1">#REF!</definedName>
    <definedName name="__APW_RESTORE_DATA3259__" hidden="1">#REF!</definedName>
    <definedName name="__APW_RESTORE_DATA326__" hidden="1">#REF!</definedName>
    <definedName name="__APW_RESTORE_DATA3260__" hidden="1">#REF!</definedName>
    <definedName name="__APW_RESTORE_DATA3261__" hidden="1">#REF!</definedName>
    <definedName name="__APW_RESTORE_DATA3262__" hidden="1">#REF!</definedName>
    <definedName name="__APW_RESTORE_DATA3263__" hidden="1">#REF!</definedName>
    <definedName name="__APW_RESTORE_DATA3264__" hidden="1">#REF!</definedName>
    <definedName name="__APW_RESTORE_DATA3265__" hidden="1">#REF!</definedName>
    <definedName name="__APW_RESTORE_DATA3266__" hidden="1">#REF!</definedName>
    <definedName name="__APW_RESTORE_DATA3267__" hidden="1">#REF!</definedName>
    <definedName name="__APW_RESTORE_DATA3268__" hidden="1">#REF!</definedName>
    <definedName name="__APW_RESTORE_DATA3269__" hidden="1">#REF!</definedName>
    <definedName name="__APW_RESTORE_DATA327__" hidden="1">#REF!</definedName>
    <definedName name="__APW_RESTORE_DATA3270__" hidden="1">#REF!</definedName>
    <definedName name="__APW_RESTORE_DATA3271__" hidden="1">#REF!</definedName>
    <definedName name="__APW_RESTORE_DATA3272__" hidden="1">#REF!</definedName>
    <definedName name="__APW_RESTORE_DATA3273__" hidden="1">#REF!</definedName>
    <definedName name="__APW_RESTORE_DATA3274__" hidden="1">#REF!</definedName>
    <definedName name="__APW_RESTORE_DATA3275__" hidden="1">#REF!</definedName>
    <definedName name="__APW_RESTORE_DATA3276__" hidden="1">#REF!</definedName>
    <definedName name="__APW_RESTORE_DATA3277__" hidden="1">#REF!</definedName>
    <definedName name="__APW_RESTORE_DATA3278__" hidden="1">#REF!</definedName>
    <definedName name="__APW_RESTORE_DATA3279__" hidden="1">#REF!</definedName>
    <definedName name="__APW_RESTORE_DATA328__" hidden="1">#REF!</definedName>
    <definedName name="__APW_RESTORE_DATA3280__" hidden="1">#REF!</definedName>
    <definedName name="__APW_RESTORE_DATA3281__" hidden="1">#REF!</definedName>
    <definedName name="__APW_RESTORE_DATA3282__" hidden="1">#REF!</definedName>
    <definedName name="__APW_RESTORE_DATA3283__" hidden="1">#REF!</definedName>
    <definedName name="__APW_RESTORE_DATA3284__" hidden="1">#REF!</definedName>
    <definedName name="__APW_RESTORE_DATA3285__" hidden="1">#REF!</definedName>
    <definedName name="__APW_RESTORE_DATA3286__" hidden="1">#REF!</definedName>
    <definedName name="__APW_RESTORE_DATA3287__" hidden="1">#REF!</definedName>
    <definedName name="__APW_RESTORE_DATA3288__" hidden="1">#REF!</definedName>
    <definedName name="__APW_RESTORE_DATA3289__" hidden="1">#REF!</definedName>
    <definedName name="__APW_RESTORE_DATA329__" hidden="1">#REF!</definedName>
    <definedName name="__APW_RESTORE_DATA3290__" hidden="1">#REF!</definedName>
    <definedName name="__APW_RESTORE_DATA3291__" hidden="1">#REF!</definedName>
    <definedName name="__APW_RESTORE_DATA3292__" hidden="1">#REF!</definedName>
    <definedName name="__APW_RESTORE_DATA3293__" hidden="1">#REF!</definedName>
    <definedName name="__APW_RESTORE_DATA3294__" hidden="1">#REF!</definedName>
    <definedName name="__APW_RESTORE_DATA3295__" hidden="1">#REF!</definedName>
    <definedName name="__APW_RESTORE_DATA3296__" hidden="1">#REF!</definedName>
    <definedName name="__APW_RESTORE_DATA3297__" hidden="1">#REF!</definedName>
    <definedName name="__APW_RESTORE_DATA3298__" hidden="1">#REF!</definedName>
    <definedName name="__APW_RESTORE_DATA3299__" hidden="1">#REF!</definedName>
    <definedName name="__APW_RESTORE_DATA33__" hidden="1">#REF!</definedName>
    <definedName name="__APW_RESTORE_DATA330__" hidden="1">#REF!</definedName>
    <definedName name="__APW_RESTORE_DATA3300__" hidden="1">#REF!</definedName>
    <definedName name="__APW_RESTORE_DATA3301__" hidden="1">#REF!</definedName>
    <definedName name="__APW_RESTORE_DATA3302__" hidden="1">#REF!</definedName>
    <definedName name="__APW_RESTORE_DATA3303__" hidden="1">#REF!</definedName>
    <definedName name="__APW_RESTORE_DATA3304__" hidden="1">#REF!</definedName>
    <definedName name="__APW_RESTORE_DATA3305__" hidden="1">#REF!</definedName>
    <definedName name="__APW_RESTORE_DATA3306__" hidden="1">#REF!</definedName>
    <definedName name="__APW_RESTORE_DATA3307__" hidden="1">#REF!</definedName>
    <definedName name="__APW_RESTORE_DATA3308__" hidden="1">#REF!</definedName>
    <definedName name="__APW_RESTORE_DATA3309__" hidden="1">#REF!</definedName>
    <definedName name="__APW_RESTORE_DATA331__" hidden="1">#REF!</definedName>
    <definedName name="__APW_RESTORE_DATA3310__" hidden="1">#REF!</definedName>
    <definedName name="__APW_RESTORE_DATA3311__" hidden="1">#REF!</definedName>
    <definedName name="__APW_RESTORE_DATA3312__" hidden="1">#REF!</definedName>
    <definedName name="__APW_RESTORE_DATA3313__" hidden="1">#REF!</definedName>
    <definedName name="__APW_RESTORE_DATA3314__" hidden="1">#REF!</definedName>
    <definedName name="__APW_RESTORE_DATA3315__" hidden="1">#REF!</definedName>
    <definedName name="__APW_RESTORE_DATA3316__" hidden="1">#REF!</definedName>
    <definedName name="__APW_RESTORE_DATA3317__" hidden="1">#REF!</definedName>
    <definedName name="__APW_RESTORE_DATA3318__" hidden="1">#REF!</definedName>
    <definedName name="__APW_RESTORE_DATA3319__" hidden="1">#REF!</definedName>
    <definedName name="__APW_RESTORE_DATA332__" hidden="1">#REF!</definedName>
    <definedName name="__APW_RESTORE_DATA3320__" hidden="1">#REF!</definedName>
    <definedName name="__APW_RESTORE_DATA3321__" hidden="1">#REF!</definedName>
    <definedName name="__APW_RESTORE_DATA3322__" hidden="1">#REF!</definedName>
    <definedName name="__APW_RESTORE_DATA3323__" hidden="1">#REF!</definedName>
    <definedName name="__APW_RESTORE_DATA3324__" hidden="1">#REF!</definedName>
    <definedName name="__APW_RESTORE_DATA3325__" hidden="1">#REF!</definedName>
    <definedName name="__APW_RESTORE_DATA3326__" hidden="1">#REF!</definedName>
    <definedName name="__APW_RESTORE_DATA3327__" hidden="1">#REF!</definedName>
    <definedName name="__APW_RESTORE_DATA3328__" hidden="1">#REF!</definedName>
    <definedName name="__APW_RESTORE_DATA3329__" hidden="1">#REF!</definedName>
    <definedName name="__APW_RESTORE_DATA333__" hidden="1">#REF!</definedName>
    <definedName name="__APW_RESTORE_DATA3330__" hidden="1">#REF!</definedName>
    <definedName name="__APW_RESTORE_DATA3331__" hidden="1">#REF!</definedName>
    <definedName name="__APW_RESTORE_DATA3332__" hidden="1">#REF!</definedName>
    <definedName name="__APW_RESTORE_DATA3333__" hidden="1">#REF!</definedName>
    <definedName name="__APW_RESTORE_DATA3334__" hidden="1">#REF!</definedName>
    <definedName name="__APW_RESTORE_DATA3335__" hidden="1">#REF!</definedName>
    <definedName name="__APW_RESTORE_DATA3336__" hidden="1">#REF!</definedName>
    <definedName name="__APW_RESTORE_DATA3337__" hidden="1">#REF!</definedName>
    <definedName name="__APW_RESTORE_DATA3338__" hidden="1">#REF!</definedName>
    <definedName name="__APW_RESTORE_DATA3339__" hidden="1">#REF!</definedName>
    <definedName name="__APW_RESTORE_DATA334__" hidden="1">#REF!</definedName>
    <definedName name="__APW_RESTORE_DATA3340__" hidden="1">#REF!</definedName>
    <definedName name="__APW_RESTORE_DATA3341__" hidden="1">#REF!</definedName>
    <definedName name="__APW_RESTORE_DATA3342__" hidden="1">#REF!</definedName>
    <definedName name="__APW_RESTORE_DATA3343__" hidden="1">#REF!</definedName>
    <definedName name="__APW_RESTORE_DATA3344__" hidden="1">#REF!</definedName>
    <definedName name="__APW_RESTORE_DATA3345__" hidden="1">#REF!</definedName>
    <definedName name="__APW_RESTORE_DATA3346__" hidden="1">#REF!</definedName>
    <definedName name="__APW_RESTORE_DATA3347__" hidden="1">#REF!</definedName>
    <definedName name="__APW_RESTORE_DATA3348__" hidden="1">#REF!</definedName>
    <definedName name="__APW_RESTORE_DATA3349__" hidden="1">#REF!</definedName>
    <definedName name="__APW_RESTORE_DATA335__" hidden="1">#REF!</definedName>
    <definedName name="__APW_RESTORE_DATA3350__" hidden="1">#REF!</definedName>
    <definedName name="__APW_RESTORE_DATA3351__" hidden="1">#REF!</definedName>
    <definedName name="__APW_RESTORE_DATA3352__" hidden="1">#REF!</definedName>
    <definedName name="__APW_RESTORE_DATA3353__" hidden="1">#REF!</definedName>
    <definedName name="__APW_RESTORE_DATA3354__" hidden="1">#REF!</definedName>
    <definedName name="__APW_RESTORE_DATA3355__" hidden="1">#REF!</definedName>
    <definedName name="__APW_RESTORE_DATA3356__" hidden="1">#REF!</definedName>
    <definedName name="__APW_RESTORE_DATA3357__" hidden="1">#REF!</definedName>
    <definedName name="__APW_RESTORE_DATA3358__" hidden="1">#REF!</definedName>
    <definedName name="__APW_RESTORE_DATA3359__" hidden="1">#REF!</definedName>
    <definedName name="__APW_RESTORE_DATA336__" hidden="1">#REF!</definedName>
    <definedName name="__APW_RESTORE_DATA3360__" hidden="1">#REF!</definedName>
    <definedName name="__APW_RESTORE_DATA3361__" hidden="1">#REF!</definedName>
    <definedName name="__APW_RESTORE_DATA3362__" hidden="1">#REF!</definedName>
    <definedName name="__APW_RESTORE_DATA3363__" hidden="1">#REF!</definedName>
    <definedName name="__APW_RESTORE_DATA3364__" hidden="1">#REF!</definedName>
    <definedName name="__APW_RESTORE_DATA3365__" hidden="1">#REF!</definedName>
    <definedName name="__APW_RESTORE_DATA3366__" hidden="1">#REF!</definedName>
    <definedName name="__APW_RESTORE_DATA3367__" hidden="1">#REF!</definedName>
    <definedName name="__APW_RESTORE_DATA3368__" hidden="1">#REF!</definedName>
    <definedName name="__APW_RESTORE_DATA3369__" hidden="1">#REF!</definedName>
    <definedName name="__APW_RESTORE_DATA337__" hidden="1">#REF!</definedName>
    <definedName name="__APW_RESTORE_DATA3370__" hidden="1">#REF!</definedName>
    <definedName name="__APW_RESTORE_DATA3371__" hidden="1">#REF!</definedName>
    <definedName name="__APW_RESTORE_DATA3372__" hidden="1">#REF!</definedName>
    <definedName name="__APW_RESTORE_DATA3373__" hidden="1">#REF!</definedName>
    <definedName name="__APW_RESTORE_DATA3374__" hidden="1">#REF!</definedName>
    <definedName name="__APW_RESTORE_DATA3375__" hidden="1">#REF!</definedName>
    <definedName name="__APW_RESTORE_DATA3376__" hidden="1">#REF!</definedName>
    <definedName name="__APW_RESTORE_DATA3377__" hidden="1">#REF!</definedName>
    <definedName name="__APW_RESTORE_DATA3378__" hidden="1">#REF!</definedName>
    <definedName name="__APW_RESTORE_DATA3379__" hidden="1">#REF!</definedName>
    <definedName name="__APW_RESTORE_DATA338__" hidden="1">#REF!</definedName>
    <definedName name="__APW_RESTORE_DATA3380__" hidden="1">#REF!</definedName>
    <definedName name="__APW_RESTORE_DATA3381__" hidden="1">#REF!</definedName>
    <definedName name="__APW_RESTORE_DATA3382__" hidden="1">#REF!</definedName>
    <definedName name="__APW_RESTORE_DATA3383__" hidden="1">#REF!</definedName>
    <definedName name="__APW_RESTORE_DATA3384__" hidden="1">#REF!</definedName>
    <definedName name="__APW_RESTORE_DATA3385__" hidden="1">#REF!</definedName>
    <definedName name="__APW_RESTORE_DATA3386__" hidden="1">#REF!</definedName>
    <definedName name="__APW_RESTORE_DATA3387__" hidden="1">#REF!</definedName>
    <definedName name="__APW_RESTORE_DATA3388__" hidden="1">#REF!</definedName>
    <definedName name="__APW_RESTORE_DATA3389__" hidden="1">#REF!</definedName>
    <definedName name="__APW_RESTORE_DATA339__" hidden="1">#REF!</definedName>
    <definedName name="__APW_RESTORE_DATA3390__" hidden="1">#REF!</definedName>
    <definedName name="__APW_RESTORE_DATA3391__" hidden="1">#REF!</definedName>
    <definedName name="__APW_RESTORE_DATA3392__" hidden="1">#REF!</definedName>
    <definedName name="__APW_RESTORE_DATA3393__" hidden="1">#REF!</definedName>
    <definedName name="__APW_RESTORE_DATA3394__" hidden="1">#REF!</definedName>
    <definedName name="__APW_RESTORE_DATA3395__" hidden="1">#REF!</definedName>
    <definedName name="__APW_RESTORE_DATA3396__" hidden="1">#REF!</definedName>
    <definedName name="__APW_RESTORE_DATA3397__" hidden="1">#REF!</definedName>
    <definedName name="__APW_RESTORE_DATA3398__" hidden="1">#REF!</definedName>
    <definedName name="__APW_RESTORE_DATA3399__" hidden="1">#REF!</definedName>
    <definedName name="__APW_RESTORE_DATA34__" hidden="1">#REF!</definedName>
    <definedName name="__APW_RESTORE_DATA340__" hidden="1">#REF!</definedName>
    <definedName name="__APW_RESTORE_DATA3400__" hidden="1">#REF!</definedName>
    <definedName name="__APW_RESTORE_DATA3401__" hidden="1">#REF!</definedName>
    <definedName name="__APW_RESTORE_DATA3402__" hidden="1">#REF!</definedName>
    <definedName name="__APW_RESTORE_DATA3403__" hidden="1">#REF!</definedName>
    <definedName name="__APW_RESTORE_DATA3404__" hidden="1">#REF!</definedName>
    <definedName name="__APW_RESTORE_DATA3405__" hidden="1">#REF!</definedName>
    <definedName name="__APW_RESTORE_DATA3406__" hidden="1">#REF!</definedName>
    <definedName name="__APW_RESTORE_DATA3407__" hidden="1">#REF!</definedName>
    <definedName name="__APW_RESTORE_DATA3408__" hidden="1">#REF!</definedName>
    <definedName name="__APW_RESTORE_DATA3409__" hidden="1">#REF!</definedName>
    <definedName name="__APW_RESTORE_DATA341__" hidden="1">#REF!</definedName>
    <definedName name="__APW_RESTORE_DATA3410__" hidden="1">#REF!</definedName>
    <definedName name="__APW_RESTORE_DATA3411__" hidden="1">#REF!</definedName>
    <definedName name="__APW_RESTORE_DATA3412__" hidden="1">#REF!</definedName>
    <definedName name="__APW_RESTORE_DATA3413__" hidden="1">#REF!</definedName>
    <definedName name="__APW_RESTORE_DATA3414__" hidden="1">#REF!</definedName>
    <definedName name="__APW_RESTORE_DATA3415__" hidden="1">#REF!</definedName>
    <definedName name="__APW_RESTORE_DATA3416__" hidden="1">#REF!</definedName>
    <definedName name="__APW_RESTORE_DATA3417__" hidden="1">#REF!</definedName>
    <definedName name="__APW_RESTORE_DATA3418__" hidden="1">#REF!</definedName>
    <definedName name="__APW_RESTORE_DATA3419__" hidden="1">#REF!</definedName>
    <definedName name="__APW_RESTORE_DATA342__" hidden="1">#REF!</definedName>
    <definedName name="__APW_RESTORE_DATA3420__" hidden="1">#REF!</definedName>
    <definedName name="__APW_RESTORE_DATA3421__" hidden="1">#REF!</definedName>
    <definedName name="__APW_RESTORE_DATA3422__" hidden="1">#REF!</definedName>
    <definedName name="__APW_RESTORE_DATA3423__" hidden="1">#REF!</definedName>
    <definedName name="__APW_RESTORE_DATA3424__" hidden="1">#REF!</definedName>
    <definedName name="__APW_RESTORE_DATA3425__" hidden="1">#REF!</definedName>
    <definedName name="__APW_RESTORE_DATA3426__" hidden="1">#REF!</definedName>
    <definedName name="__APW_RESTORE_DATA3427__" hidden="1">#REF!</definedName>
    <definedName name="__APW_RESTORE_DATA3428__" hidden="1">#REF!</definedName>
    <definedName name="__APW_RESTORE_DATA3429__" hidden="1">#REF!</definedName>
    <definedName name="__APW_RESTORE_DATA343__" hidden="1">#REF!</definedName>
    <definedName name="__APW_RESTORE_DATA3430__" hidden="1">#REF!</definedName>
    <definedName name="__APW_RESTORE_DATA3431__" hidden="1">#REF!</definedName>
    <definedName name="__APW_RESTORE_DATA3432__" hidden="1">#REF!</definedName>
    <definedName name="__APW_RESTORE_DATA3433__" hidden="1">#REF!</definedName>
    <definedName name="__APW_RESTORE_DATA3434__" hidden="1">#REF!</definedName>
    <definedName name="__APW_RESTORE_DATA3435__" hidden="1">#REF!</definedName>
    <definedName name="__APW_RESTORE_DATA3436__" hidden="1">#REF!</definedName>
    <definedName name="__APW_RESTORE_DATA3437__" hidden="1">#REF!</definedName>
    <definedName name="__APW_RESTORE_DATA3438__" hidden="1">#REF!</definedName>
    <definedName name="__APW_RESTORE_DATA3439__" hidden="1">#REF!</definedName>
    <definedName name="__APW_RESTORE_DATA344__" hidden="1">#REF!</definedName>
    <definedName name="__APW_RESTORE_DATA3440__" hidden="1">#REF!</definedName>
    <definedName name="__APW_RESTORE_DATA3441__" hidden="1">#REF!</definedName>
    <definedName name="__APW_RESTORE_DATA3442__" hidden="1">#REF!</definedName>
    <definedName name="__APW_RESTORE_DATA3443__" hidden="1">#REF!</definedName>
    <definedName name="__APW_RESTORE_DATA3444__" hidden="1">#REF!</definedName>
    <definedName name="__APW_RESTORE_DATA3445__" hidden="1">#REF!</definedName>
    <definedName name="__APW_RESTORE_DATA3446__" hidden="1">#REF!</definedName>
    <definedName name="__APW_RESTORE_DATA3447__" hidden="1">#REF!</definedName>
    <definedName name="__APW_RESTORE_DATA3448__" hidden="1">#REF!</definedName>
    <definedName name="__APW_RESTORE_DATA3449__" hidden="1">#REF!</definedName>
    <definedName name="__APW_RESTORE_DATA345__" hidden="1">#REF!</definedName>
    <definedName name="__APW_RESTORE_DATA3450__" hidden="1">#REF!</definedName>
    <definedName name="__APW_RESTORE_DATA3451__" hidden="1">#REF!</definedName>
    <definedName name="__APW_RESTORE_DATA3452__" hidden="1">#REF!</definedName>
    <definedName name="__APW_RESTORE_DATA3453__" hidden="1">#REF!</definedName>
    <definedName name="__APW_RESTORE_DATA3454__" hidden="1">#REF!</definedName>
    <definedName name="__APW_RESTORE_DATA3455__" hidden="1">#REF!</definedName>
    <definedName name="__APW_RESTORE_DATA3456__" hidden="1">#REF!</definedName>
    <definedName name="__APW_RESTORE_DATA3457__" hidden="1">#REF!</definedName>
    <definedName name="__APW_RESTORE_DATA3458__" hidden="1">#REF!</definedName>
    <definedName name="__APW_RESTORE_DATA3459__" hidden="1">#REF!</definedName>
    <definedName name="__APW_RESTORE_DATA346__" hidden="1">#REF!</definedName>
    <definedName name="__APW_RESTORE_DATA3460__" hidden="1">#REF!</definedName>
    <definedName name="__APW_RESTORE_DATA3461__" hidden="1">#REF!</definedName>
    <definedName name="__APW_RESTORE_DATA3462__" hidden="1">#REF!</definedName>
    <definedName name="__APW_RESTORE_DATA3463__" hidden="1">#REF!</definedName>
    <definedName name="__APW_RESTORE_DATA3464__" hidden="1">#REF!</definedName>
    <definedName name="__APW_RESTORE_DATA3465__" hidden="1">#REF!</definedName>
    <definedName name="__APW_RESTORE_DATA3466__" hidden="1">#REF!</definedName>
    <definedName name="__APW_RESTORE_DATA3467__" hidden="1">#REF!</definedName>
    <definedName name="__APW_RESTORE_DATA3468__" hidden="1">#REF!</definedName>
    <definedName name="__APW_RESTORE_DATA3469__" hidden="1">#REF!</definedName>
    <definedName name="__APW_RESTORE_DATA347__" hidden="1">#REF!</definedName>
    <definedName name="__APW_RESTORE_DATA3470__" hidden="1">#REF!</definedName>
    <definedName name="__APW_RESTORE_DATA3471__" hidden="1">#REF!</definedName>
    <definedName name="__APW_RESTORE_DATA3472__" hidden="1">#REF!</definedName>
    <definedName name="__APW_RESTORE_DATA3473__" hidden="1">#REF!</definedName>
    <definedName name="__APW_RESTORE_DATA3474__" hidden="1">#REF!</definedName>
    <definedName name="__APW_RESTORE_DATA3475__" hidden="1">#REF!</definedName>
    <definedName name="__APW_RESTORE_DATA3476__" hidden="1">#REF!</definedName>
    <definedName name="__APW_RESTORE_DATA3477__" hidden="1">#REF!</definedName>
    <definedName name="__APW_RESTORE_DATA3478__" hidden="1">#REF!</definedName>
    <definedName name="__APW_RESTORE_DATA3479__" hidden="1">#REF!</definedName>
    <definedName name="__APW_RESTORE_DATA348__" hidden="1">#REF!</definedName>
    <definedName name="__APW_RESTORE_DATA3480__" hidden="1">#REF!</definedName>
    <definedName name="__APW_RESTORE_DATA3481__" hidden="1">#REF!</definedName>
    <definedName name="__APW_RESTORE_DATA3482__" hidden="1">#REF!</definedName>
    <definedName name="__APW_RESTORE_DATA3483__" hidden="1">#REF!</definedName>
    <definedName name="__APW_RESTORE_DATA3484__" hidden="1">#REF!</definedName>
    <definedName name="__APW_RESTORE_DATA3485__" hidden="1">#REF!</definedName>
    <definedName name="__APW_RESTORE_DATA3486__" hidden="1">#REF!</definedName>
    <definedName name="__APW_RESTORE_DATA3487__" hidden="1">#REF!</definedName>
    <definedName name="__APW_RESTORE_DATA3488__" hidden="1">#REF!</definedName>
    <definedName name="__APW_RESTORE_DATA3489__" hidden="1">#REF!</definedName>
    <definedName name="__APW_RESTORE_DATA349__" hidden="1">#REF!</definedName>
    <definedName name="__APW_RESTORE_DATA3490__" hidden="1">#REF!</definedName>
    <definedName name="__APW_RESTORE_DATA3491__" hidden="1">#REF!</definedName>
    <definedName name="__APW_RESTORE_DATA3492__" hidden="1">#REF!</definedName>
    <definedName name="__APW_RESTORE_DATA3493__" hidden="1">#REF!</definedName>
    <definedName name="__APW_RESTORE_DATA3494__" hidden="1">#REF!</definedName>
    <definedName name="__APW_RESTORE_DATA3495__" hidden="1">#REF!</definedName>
    <definedName name="__APW_RESTORE_DATA3496__" hidden="1">#REF!</definedName>
    <definedName name="__APW_RESTORE_DATA3497__" hidden="1">#REF!</definedName>
    <definedName name="__APW_RESTORE_DATA3498__" hidden="1">#REF!</definedName>
    <definedName name="__APW_RESTORE_DATA3499__" hidden="1">#REF!</definedName>
    <definedName name="__APW_RESTORE_DATA35__" hidden="1">#REF!</definedName>
    <definedName name="__APW_RESTORE_DATA350__" hidden="1">#REF!</definedName>
    <definedName name="__APW_RESTORE_DATA3500__" hidden="1">#REF!</definedName>
    <definedName name="__APW_RESTORE_DATA3501__" hidden="1">#REF!</definedName>
    <definedName name="__APW_RESTORE_DATA3502__" hidden="1">#REF!</definedName>
    <definedName name="__APW_RESTORE_DATA3503__" hidden="1">#REF!</definedName>
    <definedName name="__APW_RESTORE_DATA3504__" hidden="1">#REF!</definedName>
    <definedName name="__APW_RESTORE_DATA3505__" hidden="1">#REF!</definedName>
    <definedName name="__APW_RESTORE_DATA3506__" hidden="1">#REF!</definedName>
    <definedName name="__APW_RESTORE_DATA3507__" hidden="1">#REF!</definedName>
    <definedName name="__APW_RESTORE_DATA3508__" hidden="1">#REF!</definedName>
    <definedName name="__APW_RESTORE_DATA3509__" hidden="1">#REF!</definedName>
    <definedName name="__APW_RESTORE_DATA351__" hidden="1">#REF!</definedName>
    <definedName name="__APW_RESTORE_DATA3510__" hidden="1">#REF!</definedName>
    <definedName name="__APW_RESTORE_DATA3511__" hidden="1">#REF!</definedName>
    <definedName name="__APW_RESTORE_DATA3512__" hidden="1">#REF!</definedName>
    <definedName name="__APW_RESTORE_DATA3513__" hidden="1">#REF!</definedName>
    <definedName name="__APW_RESTORE_DATA3514__" hidden="1">#REF!</definedName>
    <definedName name="__APW_RESTORE_DATA3515__" hidden="1">#REF!</definedName>
    <definedName name="__APW_RESTORE_DATA3516__" hidden="1">#REF!</definedName>
    <definedName name="__APW_RESTORE_DATA3517__" hidden="1">#REF!</definedName>
    <definedName name="__APW_RESTORE_DATA3518__" hidden="1">#REF!</definedName>
    <definedName name="__APW_RESTORE_DATA3519__" hidden="1">#REF!</definedName>
    <definedName name="__APW_RESTORE_DATA352__" hidden="1">#REF!</definedName>
    <definedName name="__APW_RESTORE_DATA3520__" hidden="1">#REF!</definedName>
    <definedName name="__APW_RESTORE_DATA3521__" hidden="1">#REF!</definedName>
    <definedName name="__APW_RESTORE_DATA3522__" hidden="1">#REF!</definedName>
    <definedName name="__APW_RESTORE_DATA3523__" hidden="1">#REF!</definedName>
    <definedName name="__APW_RESTORE_DATA3524__" hidden="1">#REF!</definedName>
    <definedName name="__APW_RESTORE_DATA3525__" hidden="1">#REF!</definedName>
    <definedName name="__APW_RESTORE_DATA3526__" hidden="1">#REF!</definedName>
    <definedName name="__APW_RESTORE_DATA3527__" hidden="1">#REF!</definedName>
    <definedName name="__APW_RESTORE_DATA3528__" hidden="1">#REF!</definedName>
    <definedName name="__APW_RESTORE_DATA3529__" hidden="1">#REF!</definedName>
    <definedName name="__APW_RESTORE_DATA353__" hidden="1">#REF!</definedName>
    <definedName name="__APW_RESTORE_DATA3530__" hidden="1">#REF!</definedName>
    <definedName name="__APW_RESTORE_DATA3531__" hidden="1">#REF!</definedName>
    <definedName name="__APW_RESTORE_DATA3532__" hidden="1">#REF!</definedName>
    <definedName name="__APW_RESTORE_DATA3533__" hidden="1">#REF!</definedName>
    <definedName name="__APW_RESTORE_DATA3534__" hidden="1">#REF!</definedName>
    <definedName name="__APW_RESTORE_DATA3535__" hidden="1">#REF!</definedName>
    <definedName name="__APW_RESTORE_DATA3536__" hidden="1">#REF!</definedName>
    <definedName name="__APW_RESTORE_DATA3537__" hidden="1">#REF!</definedName>
    <definedName name="__APW_RESTORE_DATA3538__" hidden="1">#REF!</definedName>
    <definedName name="__APW_RESTORE_DATA3539__" hidden="1">#REF!</definedName>
    <definedName name="__APW_RESTORE_DATA354__" hidden="1">#REF!</definedName>
    <definedName name="__APW_RESTORE_DATA3540__" hidden="1">#REF!</definedName>
    <definedName name="__APW_RESTORE_DATA3541__" hidden="1">#REF!</definedName>
    <definedName name="__APW_RESTORE_DATA3542__" hidden="1">#REF!</definedName>
    <definedName name="__APW_RESTORE_DATA3543__" hidden="1">#REF!</definedName>
    <definedName name="__APW_RESTORE_DATA3544__" hidden="1">#REF!</definedName>
    <definedName name="__APW_RESTORE_DATA3545__" hidden="1">#REF!</definedName>
    <definedName name="__APW_RESTORE_DATA3546__" hidden="1">#REF!</definedName>
    <definedName name="__APW_RESTORE_DATA3547__" hidden="1">#REF!</definedName>
    <definedName name="__APW_RESTORE_DATA3548__" hidden="1">#REF!</definedName>
    <definedName name="__APW_RESTORE_DATA3549__" hidden="1">#REF!</definedName>
    <definedName name="__APW_RESTORE_DATA355__" hidden="1">#REF!</definedName>
    <definedName name="__APW_RESTORE_DATA3550__" hidden="1">#REF!</definedName>
    <definedName name="__APW_RESTORE_DATA3551__" hidden="1">#REF!</definedName>
    <definedName name="__APW_RESTORE_DATA3552__" hidden="1">#REF!</definedName>
    <definedName name="__APW_RESTORE_DATA3553__" hidden="1">#REF!</definedName>
    <definedName name="__APW_RESTORE_DATA3554__" hidden="1">#REF!</definedName>
    <definedName name="__APW_RESTORE_DATA3555__" hidden="1">#REF!</definedName>
    <definedName name="__APW_RESTORE_DATA3556__" hidden="1">#REF!</definedName>
    <definedName name="__APW_RESTORE_DATA3557__" hidden="1">#REF!</definedName>
    <definedName name="__APW_RESTORE_DATA3558__" hidden="1">#REF!</definedName>
    <definedName name="__APW_RESTORE_DATA3559__" hidden="1">#REF!</definedName>
    <definedName name="__APW_RESTORE_DATA356__" hidden="1">#REF!</definedName>
    <definedName name="__APW_RESTORE_DATA3560__" hidden="1">#REF!</definedName>
    <definedName name="__APW_RESTORE_DATA3561__" hidden="1">#REF!</definedName>
    <definedName name="__APW_RESTORE_DATA3562__" hidden="1">#REF!</definedName>
    <definedName name="__APW_RESTORE_DATA3563__" hidden="1">#REF!</definedName>
    <definedName name="__APW_RESTORE_DATA3564__" hidden="1">#REF!</definedName>
    <definedName name="__APW_RESTORE_DATA3565__" hidden="1">#REF!</definedName>
    <definedName name="__APW_RESTORE_DATA3566__" hidden="1">#REF!</definedName>
    <definedName name="__APW_RESTORE_DATA3567__" hidden="1">#REF!</definedName>
    <definedName name="__APW_RESTORE_DATA3568__" hidden="1">#REF!</definedName>
    <definedName name="__APW_RESTORE_DATA3569__" hidden="1">#REF!</definedName>
    <definedName name="__APW_RESTORE_DATA357__" hidden="1">#REF!</definedName>
    <definedName name="__APW_RESTORE_DATA3570__" hidden="1">#REF!</definedName>
    <definedName name="__APW_RESTORE_DATA3571__" hidden="1">#REF!</definedName>
    <definedName name="__APW_RESTORE_DATA3572__" hidden="1">#REF!</definedName>
    <definedName name="__APW_RESTORE_DATA3573__" hidden="1">#REF!</definedName>
    <definedName name="__APW_RESTORE_DATA3574__" hidden="1">#REF!</definedName>
    <definedName name="__APW_RESTORE_DATA3575__" hidden="1">#REF!</definedName>
    <definedName name="__APW_RESTORE_DATA3576__" hidden="1">#REF!</definedName>
    <definedName name="__APW_RESTORE_DATA3577__" hidden="1">#REF!</definedName>
    <definedName name="__APW_RESTORE_DATA3578__" hidden="1">#REF!</definedName>
    <definedName name="__APW_RESTORE_DATA3579__" hidden="1">#REF!</definedName>
    <definedName name="__APW_RESTORE_DATA358__" hidden="1">#REF!</definedName>
    <definedName name="__APW_RESTORE_DATA3580__" hidden="1">#REF!</definedName>
    <definedName name="__APW_RESTORE_DATA3581__" hidden="1">#REF!</definedName>
    <definedName name="__APW_RESTORE_DATA3582__" hidden="1">#REF!</definedName>
    <definedName name="__APW_RESTORE_DATA3583__" hidden="1">#REF!</definedName>
    <definedName name="__APW_RESTORE_DATA3584__" hidden="1">#REF!</definedName>
    <definedName name="__APW_RESTORE_DATA3585__" hidden="1">#REF!</definedName>
    <definedName name="__APW_RESTORE_DATA3586__" hidden="1">#REF!</definedName>
    <definedName name="__APW_RESTORE_DATA3587__" hidden="1">#REF!</definedName>
    <definedName name="__APW_RESTORE_DATA3588__" hidden="1">#REF!</definedName>
    <definedName name="__APW_RESTORE_DATA3589__" hidden="1">#REF!</definedName>
    <definedName name="__APW_RESTORE_DATA359__" hidden="1">#REF!</definedName>
    <definedName name="__APW_RESTORE_DATA3590__" hidden="1">#REF!</definedName>
    <definedName name="__APW_RESTORE_DATA3591__" hidden="1">#REF!</definedName>
    <definedName name="__APW_RESTORE_DATA3592__" hidden="1">#REF!</definedName>
    <definedName name="__APW_RESTORE_DATA3593__" hidden="1">#REF!</definedName>
    <definedName name="__APW_RESTORE_DATA3594__" hidden="1">#REF!</definedName>
    <definedName name="__APW_RESTORE_DATA3595__" hidden="1">#REF!</definedName>
    <definedName name="__APW_RESTORE_DATA3596__" hidden="1">#REF!</definedName>
    <definedName name="__APW_RESTORE_DATA3597__" hidden="1">#REF!</definedName>
    <definedName name="__APW_RESTORE_DATA3598__" hidden="1">#REF!</definedName>
    <definedName name="__APW_RESTORE_DATA3599__" hidden="1">#REF!</definedName>
    <definedName name="__APW_RESTORE_DATA36__" hidden="1">#REF!</definedName>
    <definedName name="__APW_RESTORE_DATA360__" hidden="1">#REF!</definedName>
    <definedName name="__APW_RESTORE_DATA3600__" hidden="1">#REF!</definedName>
    <definedName name="__APW_RESTORE_DATA3601__" hidden="1">#REF!</definedName>
    <definedName name="__APW_RESTORE_DATA3602__" hidden="1">#REF!</definedName>
    <definedName name="__APW_RESTORE_DATA3603__" hidden="1">#REF!</definedName>
    <definedName name="__APW_RESTORE_DATA3604__" hidden="1">#REF!</definedName>
    <definedName name="__APW_RESTORE_DATA3605__" hidden="1">#REF!</definedName>
    <definedName name="__APW_RESTORE_DATA3606__" hidden="1">#REF!</definedName>
    <definedName name="__APW_RESTORE_DATA3607__" hidden="1">#REF!</definedName>
    <definedName name="__APW_RESTORE_DATA3608__" hidden="1">#REF!</definedName>
    <definedName name="__APW_RESTORE_DATA3609__" hidden="1">#REF!</definedName>
    <definedName name="__APW_RESTORE_DATA361__" hidden="1">#REF!</definedName>
    <definedName name="__APW_RESTORE_DATA3610__" hidden="1">#REF!</definedName>
    <definedName name="__APW_RESTORE_DATA3611__" hidden="1">#REF!</definedName>
    <definedName name="__APW_RESTORE_DATA3612__" hidden="1">#REF!</definedName>
    <definedName name="__APW_RESTORE_DATA3613__" hidden="1">#REF!</definedName>
    <definedName name="__APW_RESTORE_DATA3614__" hidden="1">#REF!</definedName>
    <definedName name="__APW_RESTORE_DATA3615__" hidden="1">#REF!</definedName>
    <definedName name="__APW_RESTORE_DATA3616__" hidden="1">#REF!</definedName>
    <definedName name="__APW_RESTORE_DATA3617__" hidden="1">#REF!</definedName>
    <definedName name="__APW_RESTORE_DATA3618__" hidden="1">#REF!</definedName>
    <definedName name="__APW_RESTORE_DATA3619__" hidden="1">#REF!</definedName>
    <definedName name="__APW_RESTORE_DATA362__" hidden="1">#REF!</definedName>
    <definedName name="__APW_RESTORE_DATA3620__" hidden="1">#REF!</definedName>
    <definedName name="__APW_RESTORE_DATA3621__" hidden="1">#REF!</definedName>
    <definedName name="__APW_RESTORE_DATA3622__" hidden="1">#REF!</definedName>
    <definedName name="__APW_RESTORE_DATA3623__" hidden="1">#REF!</definedName>
    <definedName name="__APW_RESTORE_DATA3624__" hidden="1">#REF!</definedName>
    <definedName name="__APW_RESTORE_DATA3625__" hidden="1">#REF!</definedName>
    <definedName name="__APW_RESTORE_DATA3626__" hidden="1">#REF!</definedName>
    <definedName name="__APW_RESTORE_DATA3627__" hidden="1">#REF!</definedName>
    <definedName name="__APW_RESTORE_DATA3628__" hidden="1">#REF!</definedName>
    <definedName name="__APW_RESTORE_DATA3629__" hidden="1">#REF!</definedName>
    <definedName name="__APW_RESTORE_DATA363__" hidden="1">#REF!</definedName>
    <definedName name="__APW_RESTORE_DATA3630__" hidden="1">#REF!</definedName>
    <definedName name="__APW_RESTORE_DATA3631__" hidden="1">#REF!</definedName>
    <definedName name="__APW_RESTORE_DATA3632__" hidden="1">#REF!</definedName>
    <definedName name="__APW_RESTORE_DATA3633__" hidden="1">#REF!</definedName>
    <definedName name="__APW_RESTORE_DATA3634__" hidden="1">#REF!</definedName>
    <definedName name="__APW_RESTORE_DATA3635__" hidden="1">#REF!</definedName>
    <definedName name="__APW_RESTORE_DATA3636__" hidden="1">#REF!</definedName>
    <definedName name="__APW_RESTORE_DATA3637__" hidden="1">#REF!</definedName>
    <definedName name="__APW_RESTORE_DATA3638__" hidden="1">#REF!</definedName>
    <definedName name="__APW_RESTORE_DATA3639__" hidden="1">#REF!</definedName>
    <definedName name="__APW_RESTORE_DATA364__" hidden="1">#REF!</definedName>
    <definedName name="__APW_RESTORE_DATA3640__" hidden="1">#REF!</definedName>
    <definedName name="__APW_RESTORE_DATA3641__" hidden="1">#REF!</definedName>
    <definedName name="__APW_RESTORE_DATA3642__" hidden="1">#REF!</definedName>
    <definedName name="__APW_RESTORE_DATA3643__" hidden="1">#REF!</definedName>
    <definedName name="__APW_RESTORE_DATA3644__" hidden="1">#REF!</definedName>
    <definedName name="__APW_RESTORE_DATA3645__" hidden="1">#REF!</definedName>
    <definedName name="__APW_RESTORE_DATA3646__" hidden="1">#REF!</definedName>
    <definedName name="__APW_RESTORE_DATA3647__" hidden="1">#REF!</definedName>
    <definedName name="__APW_RESTORE_DATA3648__" hidden="1">#REF!</definedName>
    <definedName name="__APW_RESTORE_DATA3649__" hidden="1">#REF!</definedName>
    <definedName name="__APW_RESTORE_DATA365__" hidden="1">#REF!</definedName>
    <definedName name="__APW_RESTORE_DATA3650__" hidden="1">#REF!</definedName>
    <definedName name="__APW_RESTORE_DATA3651__" hidden="1">#REF!</definedName>
    <definedName name="__APW_RESTORE_DATA3652__" hidden="1">#REF!</definedName>
    <definedName name="__APW_RESTORE_DATA3653__" hidden="1">#REF!</definedName>
    <definedName name="__APW_RESTORE_DATA3654__" hidden="1">#REF!</definedName>
    <definedName name="__APW_RESTORE_DATA3655__" hidden="1">#REF!</definedName>
    <definedName name="__APW_RESTORE_DATA3656__" hidden="1">#REF!</definedName>
    <definedName name="__APW_RESTORE_DATA3657__" hidden="1">#REF!</definedName>
    <definedName name="__APW_RESTORE_DATA3658__" hidden="1">#REF!</definedName>
    <definedName name="__APW_RESTORE_DATA3659__" hidden="1">#REF!</definedName>
    <definedName name="__APW_RESTORE_DATA366__" hidden="1">#REF!</definedName>
    <definedName name="__APW_RESTORE_DATA3660__" hidden="1">#REF!</definedName>
    <definedName name="__APW_RESTORE_DATA3661__" hidden="1">#REF!</definedName>
    <definedName name="__APW_RESTORE_DATA3662__" hidden="1">#REF!</definedName>
    <definedName name="__APW_RESTORE_DATA3663__" hidden="1">#REF!</definedName>
    <definedName name="__APW_RESTORE_DATA3664__" hidden="1">#REF!</definedName>
    <definedName name="__APW_RESTORE_DATA3665__" hidden="1">#REF!</definedName>
    <definedName name="__APW_RESTORE_DATA3666__" hidden="1">#REF!</definedName>
    <definedName name="__APW_RESTORE_DATA3667__" hidden="1">#REF!</definedName>
    <definedName name="__APW_RESTORE_DATA3668__" hidden="1">#REF!</definedName>
    <definedName name="__APW_RESTORE_DATA3669__" hidden="1">#REF!</definedName>
    <definedName name="__APW_RESTORE_DATA367__" hidden="1">#REF!</definedName>
    <definedName name="__APW_RESTORE_DATA3670__" hidden="1">#REF!</definedName>
    <definedName name="__APW_RESTORE_DATA3671__" hidden="1">#REF!</definedName>
    <definedName name="__APW_RESTORE_DATA3672__" hidden="1">#REF!</definedName>
    <definedName name="__APW_RESTORE_DATA3673__" hidden="1">#REF!</definedName>
    <definedName name="__APW_RESTORE_DATA3674__" hidden="1">#REF!</definedName>
    <definedName name="__APW_RESTORE_DATA3675__" hidden="1">#REF!</definedName>
    <definedName name="__APW_RESTORE_DATA3676__" hidden="1">#REF!</definedName>
    <definedName name="__APW_RESTORE_DATA3677__" hidden="1">#REF!</definedName>
    <definedName name="__APW_RESTORE_DATA3678__" hidden="1">#REF!</definedName>
    <definedName name="__APW_RESTORE_DATA3679__" hidden="1">#REF!</definedName>
    <definedName name="__APW_RESTORE_DATA368__" hidden="1">#REF!</definedName>
    <definedName name="__APW_RESTORE_DATA3680__" hidden="1">#REF!</definedName>
    <definedName name="__APW_RESTORE_DATA3681__" hidden="1">#REF!</definedName>
    <definedName name="__APW_RESTORE_DATA3682__" hidden="1">#REF!</definedName>
    <definedName name="__APW_RESTORE_DATA3683__" hidden="1">#REF!</definedName>
    <definedName name="__APW_RESTORE_DATA3684__" hidden="1">#REF!</definedName>
    <definedName name="__APW_RESTORE_DATA3685__" hidden="1">#REF!</definedName>
    <definedName name="__APW_RESTORE_DATA3686__" hidden="1">#REF!</definedName>
    <definedName name="__APW_RESTORE_DATA3687__" hidden="1">#REF!</definedName>
    <definedName name="__APW_RESTORE_DATA3688__" hidden="1">#REF!</definedName>
    <definedName name="__APW_RESTORE_DATA3689__" hidden="1">#REF!</definedName>
    <definedName name="__APW_RESTORE_DATA369__" hidden="1">#REF!</definedName>
    <definedName name="__APW_RESTORE_DATA3690__" hidden="1">#REF!</definedName>
    <definedName name="__APW_RESTORE_DATA3691__" hidden="1">#REF!</definedName>
    <definedName name="__APW_RESTORE_DATA3692__" hidden="1">#REF!</definedName>
    <definedName name="__APW_RESTORE_DATA3693__" hidden="1">#REF!</definedName>
    <definedName name="__APW_RESTORE_DATA3694__" hidden="1">#REF!</definedName>
    <definedName name="__APW_RESTORE_DATA3695__" hidden="1">#REF!</definedName>
    <definedName name="__APW_RESTORE_DATA3696__" hidden="1">#REF!</definedName>
    <definedName name="__APW_RESTORE_DATA3697__" hidden="1">#REF!</definedName>
    <definedName name="__APW_RESTORE_DATA3698__" hidden="1">#REF!</definedName>
    <definedName name="__APW_RESTORE_DATA3699__" hidden="1">#REF!</definedName>
    <definedName name="__APW_RESTORE_DATA37__" hidden="1">#REF!</definedName>
    <definedName name="__APW_RESTORE_DATA370__" hidden="1">#REF!</definedName>
    <definedName name="__APW_RESTORE_DATA3700__" hidden="1">#REF!</definedName>
    <definedName name="__APW_RESTORE_DATA3701__" hidden="1">#REF!</definedName>
    <definedName name="__APW_RESTORE_DATA3702__" hidden="1">#REF!</definedName>
    <definedName name="__APW_RESTORE_DATA3703__" hidden="1">#REF!</definedName>
    <definedName name="__APW_RESTORE_DATA3704__" hidden="1">#REF!</definedName>
    <definedName name="__APW_RESTORE_DATA3705__" hidden="1">#REF!</definedName>
    <definedName name="__APW_RESTORE_DATA3706__" hidden="1">#REF!</definedName>
    <definedName name="__APW_RESTORE_DATA3707__" hidden="1">#REF!</definedName>
    <definedName name="__APW_RESTORE_DATA3708__" hidden="1">#REF!</definedName>
    <definedName name="__APW_RESTORE_DATA3709__" hidden="1">#REF!</definedName>
    <definedName name="__APW_RESTORE_DATA371__" hidden="1">#REF!</definedName>
    <definedName name="__APW_RESTORE_DATA3710__" hidden="1">#REF!</definedName>
    <definedName name="__APW_RESTORE_DATA3711__" hidden="1">#REF!</definedName>
    <definedName name="__APW_RESTORE_DATA3712__" hidden="1">#REF!</definedName>
    <definedName name="__APW_RESTORE_DATA3713__" hidden="1">#REF!</definedName>
    <definedName name="__APW_RESTORE_DATA3714__" hidden="1">#REF!</definedName>
    <definedName name="__APW_RESTORE_DATA3715__" hidden="1">#REF!</definedName>
    <definedName name="__APW_RESTORE_DATA3716__" hidden="1">#REF!</definedName>
    <definedName name="__APW_RESTORE_DATA3717__" hidden="1">#REF!</definedName>
    <definedName name="__APW_RESTORE_DATA3718__" hidden="1">#REF!</definedName>
    <definedName name="__APW_RESTORE_DATA3719__" hidden="1">#REF!</definedName>
    <definedName name="__APW_RESTORE_DATA372__" hidden="1">#REF!</definedName>
    <definedName name="__APW_RESTORE_DATA3720__" hidden="1">#REF!</definedName>
    <definedName name="__APW_RESTORE_DATA3721__" hidden="1">#REF!</definedName>
    <definedName name="__APW_RESTORE_DATA3722__" hidden="1">#REF!</definedName>
    <definedName name="__APW_RESTORE_DATA3723__" hidden="1">#REF!</definedName>
    <definedName name="__APW_RESTORE_DATA3724__" hidden="1">#REF!</definedName>
    <definedName name="__APW_RESTORE_DATA3725__" hidden="1">#REF!</definedName>
    <definedName name="__APW_RESTORE_DATA3726__" hidden="1">#REF!</definedName>
    <definedName name="__APW_RESTORE_DATA3727__" hidden="1">#REF!</definedName>
    <definedName name="__APW_RESTORE_DATA3728__" hidden="1">#REF!</definedName>
    <definedName name="__APW_RESTORE_DATA3729__" hidden="1">#REF!</definedName>
    <definedName name="__APW_RESTORE_DATA373__" hidden="1">#REF!</definedName>
    <definedName name="__APW_RESTORE_DATA3730__" hidden="1">#REF!</definedName>
    <definedName name="__APW_RESTORE_DATA3731__" hidden="1">#REF!</definedName>
    <definedName name="__APW_RESTORE_DATA3732__" hidden="1">#REF!</definedName>
    <definedName name="__APW_RESTORE_DATA3733__" hidden="1">#REF!</definedName>
    <definedName name="__APW_RESTORE_DATA3734__" hidden="1">#REF!</definedName>
    <definedName name="__APW_RESTORE_DATA3735__" hidden="1">#REF!</definedName>
    <definedName name="__APW_RESTORE_DATA3736__" hidden="1">#REF!</definedName>
    <definedName name="__APW_RESTORE_DATA3737__" hidden="1">#REF!</definedName>
    <definedName name="__APW_RESTORE_DATA3738__" hidden="1">#REF!</definedName>
    <definedName name="__APW_RESTORE_DATA3739__" hidden="1">#REF!</definedName>
    <definedName name="__APW_RESTORE_DATA374__" hidden="1">#REF!</definedName>
    <definedName name="__APW_RESTORE_DATA3740__" hidden="1">#REF!</definedName>
    <definedName name="__APW_RESTORE_DATA3741__" hidden="1">#REF!</definedName>
    <definedName name="__APW_RESTORE_DATA3742__" hidden="1">#REF!</definedName>
    <definedName name="__APW_RESTORE_DATA3743__" hidden="1">#REF!</definedName>
    <definedName name="__APW_RESTORE_DATA3744__" hidden="1">#REF!</definedName>
    <definedName name="__APW_RESTORE_DATA3745__" hidden="1">#REF!</definedName>
    <definedName name="__APW_RESTORE_DATA3746__" hidden="1">#REF!</definedName>
    <definedName name="__APW_RESTORE_DATA3747__" hidden="1">#REF!</definedName>
    <definedName name="__APW_RESTORE_DATA3748__" hidden="1">#REF!</definedName>
    <definedName name="__APW_RESTORE_DATA3749__" hidden="1">#REF!</definedName>
    <definedName name="__APW_RESTORE_DATA375__" hidden="1">#REF!</definedName>
    <definedName name="__APW_RESTORE_DATA3750__" hidden="1">#REF!</definedName>
    <definedName name="__APW_RESTORE_DATA3751__" hidden="1">#REF!</definedName>
    <definedName name="__APW_RESTORE_DATA3752__" hidden="1">#REF!</definedName>
    <definedName name="__APW_RESTORE_DATA3753__" hidden="1">#REF!</definedName>
    <definedName name="__APW_RESTORE_DATA3754__" hidden="1">#REF!</definedName>
    <definedName name="__APW_RESTORE_DATA3755__" hidden="1">#REF!</definedName>
    <definedName name="__APW_RESTORE_DATA3756__" hidden="1">#REF!</definedName>
    <definedName name="__APW_RESTORE_DATA3757__" hidden="1">#REF!</definedName>
    <definedName name="__APW_RESTORE_DATA3758__" hidden="1">#REF!</definedName>
    <definedName name="__APW_RESTORE_DATA3759__" hidden="1">#REF!</definedName>
    <definedName name="__APW_RESTORE_DATA376__" hidden="1">#REF!</definedName>
    <definedName name="__APW_RESTORE_DATA3760__" hidden="1">#REF!</definedName>
    <definedName name="__APW_RESTORE_DATA3761__" hidden="1">#REF!</definedName>
    <definedName name="__APW_RESTORE_DATA3762__" hidden="1">#REF!</definedName>
    <definedName name="__APW_RESTORE_DATA3763__" hidden="1">#REF!</definedName>
    <definedName name="__APW_RESTORE_DATA3764__" hidden="1">#REF!</definedName>
    <definedName name="__APW_RESTORE_DATA3765__" hidden="1">#REF!</definedName>
    <definedName name="__APW_RESTORE_DATA3766__" hidden="1">#REF!</definedName>
    <definedName name="__APW_RESTORE_DATA3767__" hidden="1">#REF!</definedName>
    <definedName name="__APW_RESTORE_DATA3768__" hidden="1">#REF!</definedName>
    <definedName name="__APW_RESTORE_DATA3769__" hidden="1">#REF!</definedName>
    <definedName name="__APW_RESTORE_DATA377__" hidden="1">#REF!</definedName>
    <definedName name="__APW_RESTORE_DATA3770__" hidden="1">#REF!</definedName>
    <definedName name="__APW_RESTORE_DATA3771__" hidden="1">#REF!</definedName>
    <definedName name="__APW_RESTORE_DATA3772__" hidden="1">#REF!</definedName>
    <definedName name="__APW_RESTORE_DATA3773__" hidden="1">#REF!</definedName>
    <definedName name="__APW_RESTORE_DATA3774__" hidden="1">#REF!</definedName>
    <definedName name="__APW_RESTORE_DATA3775__" hidden="1">#REF!</definedName>
    <definedName name="__APW_RESTORE_DATA3776__" hidden="1">#REF!</definedName>
    <definedName name="__APW_RESTORE_DATA3777__" hidden="1">#REF!</definedName>
    <definedName name="__APW_RESTORE_DATA3778__" hidden="1">#REF!</definedName>
    <definedName name="__APW_RESTORE_DATA3779__" hidden="1">#REF!</definedName>
    <definedName name="__APW_RESTORE_DATA378__" hidden="1">#REF!</definedName>
    <definedName name="__APW_RESTORE_DATA3780__" hidden="1">#REF!</definedName>
    <definedName name="__APW_RESTORE_DATA3781__" hidden="1">#REF!</definedName>
    <definedName name="__APW_RESTORE_DATA3782__" hidden="1">#REF!</definedName>
    <definedName name="__APW_RESTORE_DATA3783__" hidden="1">#REF!</definedName>
    <definedName name="__APW_RESTORE_DATA3784__" hidden="1">#REF!</definedName>
    <definedName name="__APW_RESTORE_DATA3785__" hidden="1">#REF!</definedName>
    <definedName name="__APW_RESTORE_DATA3786__" hidden="1">#REF!</definedName>
    <definedName name="__APW_RESTORE_DATA3787__" hidden="1">#REF!</definedName>
    <definedName name="__APW_RESTORE_DATA3788__" hidden="1">#REF!</definedName>
    <definedName name="__APW_RESTORE_DATA3789__" hidden="1">#REF!</definedName>
    <definedName name="__APW_RESTORE_DATA379__" hidden="1">#REF!</definedName>
    <definedName name="__APW_RESTORE_DATA3790__" hidden="1">#REF!</definedName>
    <definedName name="__APW_RESTORE_DATA3791__" hidden="1">#REF!</definedName>
    <definedName name="__APW_RESTORE_DATA3792__" hidden="1">#REF!</definedName>
    <definedName name="__APW_RESTORE_DATA3793__" hidden="1">#REF!</definedName>
    <definedName name="__APW_RESTORE_DATA3794__" hidden="1">#REF!</definedName>
    <definedName name="__APW_RESTORE_DATA3795__" hidden="1">#REF!</definedName>
    <definedName name="__APW_RESTORE_DATA3796__" hidden="1">#REF!</definedName>
    <definedName name="__APW_RESTORE_DATA3797__" hidden="1">#REF!</definedName>
    <definedName name="__APW_RESTORE_DATA3798__" hidden="1">#REF!</definedName>
    <definedName name="__APW_RESTORE_DATA3799__" hidden="1">#REF!</definedName>
    <definedName name="__APW_RESTORE_DATA38__" hidden="1">#REF!</definedName>
    <definedName name="__APW_RESTORE_DATA380__" hidden="1">#REF!</definedName>
    <definedName name="__APW_RESTORE_DATA3800__" hidden="1">#REF!</definedName>
    <definedName name="__APW_RESTORE_DATA3801__" hidden="1">#REF!</definedName>
    <definedName name="__APW_RESTORE_DATA3802__" hidden="1">#REF!</definedName>
    <definedName name="__APW_RESTORE_DATA3803__" hidden="1">#REF!</definedName>
    <definedName name="__APW_RESTORE_DATA3804__" hidden="1">#REF!</definedName>
    <definedName name="__APW_RESTORE_DATA3805__" hidden="1">#REF!</definedName>
    <definedName name="__APW_RESTORE_DATA3806__" hidden="1">#REF!</definedName>
    <definedName name="__APW_RESTORE_DATA3807__" hidden="1">#REF!</definedName>
    <definedName name="__APW_RESTORE_DATA3808__" hidden="1">#REF!</definedName>
    <definedName name="__APW_RESTORE_DATA3809__" hidden="1">#REF!</definedName>
    <definedName name="__APW_RESTORE_DATA381__" hidden="1">#REF!</definedName>
    <definedName name="__APW_RESTORE_DATA3810__" hidden="1">#REF!</definedName>
    <definedName name="__APW_RESTORE_DATA3811__" hidden="1">#REF!</definedName>
    <definedName name="__APW_RESTORE_DATA3812__" hidden="1">#REF!</definedName>
    <definedName name="__APW_RESTORE_DATA3813__" hidden="1">#REF!</definedName>
    <definedName name="__APW_RESTORE_DATA3814__" hidden="1">#REF!</definedName>
    <definedName name="__APW_RESTORE_DATA3815__" hidden="1">#REF!</definedName>
    <definedName name="__APW_RESTORE_DATA3816__" hidden="1">#REF!</definedName>
    <definedName name="__APW_RESTORE_DATA3817__" hidden="1">#REF!</definedName>
    <definedName name="__APW_RESTORE_DATA3818__" hidden="1">#REF!</definedName>
    <definedName name="__APW_RESTORE_DATA3819__" hidden="1">#REF!</definedName>
    <definedName name="__APW_RESTORE_DATA382__" hidden="1">#REF!</definedName>
    <definedName name="__APW_RESTORE_DATA3820__" hidden="1">#REF!</definedName>
    <definedName name="__APW_RESTORE_DATA3821__" hidden="1">#REF!</definedName>
    <definedName name="__APW_RESTORE_DATA3822__" hidden="1">#REF!</definedName>
    <definedName name="__APW_RESTORE_DATA3823__" hidden="1">#REF!</definedName>
    <definedName name="__APW_RESTORE_DATA3824__" hidden="1">#REF!</definedName>
    <definedName name="__APW_RESTORE_DATA3825__" hidden="1">#REF!</definedName>
    <definedName name="__APW_RESTORE_DATA3826__" hidden="1">#REF!</definedName>
    <definedName name="__APW_RESTORE_DATA3827__" hidden="1">#REF!</definedName>
    <definedName name="__APW_RESTORE_DATA3828__" hidden="1">#REF!</definedName>
    <definedName name="__APW_RESTORE_DATA3829__" hidden="1">#REF!</definedName>
    <definedName name="__APW_RESTORE_DATA383__" hidden="1">#REF!</definedName>
    <definedName name="__APW_RESTORE_DATA3830__" hidden="1">#REF!</definedName>
    <definedName name="__APW_RESTORE_DATA3831__" hidden="1">#REF!</definedName>
    <definedName name="__APW_RESTORE_DATA3832__" hidden="1">#REF!</definedName>
    <definedName name="__APW_RESTORE_DATA3833__" hidden="1">#REF!</definedName>
    <definedName name="__APW_RESTORE_DATA3834__" hidden="1">#REF!</definedName>
    <definedName name="__APW_RESTORE_DATA3835__" hidden="1">#REF!</definedName>
    <definedName name="__APW_RESTORE_DATA3836__" hidden="1">#REF!</definedName>
    <definedName name="__APW_RESTORE_DATA3837__" hidden="1">#REF!</definedName>
    <definedName name="__APW_RESTORE_DATA3838__" hidden="1">#REF!</definedName>
    <definedName name="__APW_RESTORE_DATA3839__" hidden="1">#REF!</definedName>
    <definedName name="__APW_RESTORE_DATA384__" hidden="1">#REF!</definedName>
    <definedName name="__APW_RESTORE_DATA3840__" hidden="1">#REF!</definedName>
    <definedName name="__APW_RESTORE_DATA3841__" hidden="1">#REF!</definedName>
    <definedName name="__APW_RESTORE_DATA3842__" hidden="1">#REF!</definedName>
    <definedName name="__APW_RESTORE_DATA3843__" hidden="1">#REF!</definedName>
    <definedName name="__APW_RESTORE_DATA3844__" hidden="1">#REF!</definedName>
    <definedName name="__APW_RESTORE_DATA3845__" hidden="1">#REF!</definedName>
    <definedName name="__APW_RESTORE_DATA3846__" hidden="1">#REF!</definedName>
    <definedName name="__APW_RESTORE_DATA3847__" hidden="1">#REF!</definedName>
    <definedName name="__APW_RESTORE_DATA3848__" hidden="1">#REF!</definedName>
    <definedName name="__APW_RESTORE_DATA3849__" hidden="1">#REF!</definedName>
    <definedName name="__APW_RESTORE_DATA385__" hidden="1">#REF!</definedName>
    <definedName name="__APW_RESTORE_DATA3850__" hidden="1">#REF!</definedName>
    <definedName name="__APW_RESTORE_DATA3851__" hidden="1">#REF!</definedName>
    <definedName name="__APW_RESTORE_DATA3852__" hidden="1">#REF!</definedName>
    <definedName name="__APW_RESTORE_DATA3853__" hidden="1">#REF!</definedName>
    <definedName name="__APW_RESTORE_DATA3854__" hidden="1">#REF!</definedName>
    <definedName name="__APW_RESTORE_DATA3855__" hidden="1">#REF!</definedName>
    <definedName name="__APW_RESTORE_DATA3856__" hidden="1">#REF!</definedName>
    <definedName name="__APW_RESTORE_DATA3857__" hidden="1">#REF!</definedName>
    <definedName name="__APW_RESTORE_DATA3858__" hidden="1">#REF!</definedName>
    <definedName name="__APW_RESTORE_DATA3859__" hidden="1">#REF!</definedName>
    <definedName name="__APW_RESTORE_DATA386__" hidden="1">#REF!</definedName>
    <definedName name="__APW_RESTORE_DATA3860__" hidden="1">#REF!</definedName>
    <definedName name="__APW_RESTORE_DATA3861__" hidden="1">#REF!</definedName>
    <definedName name="__APW_RESTORE_DATA3862__" hidden="1">#REF!</definedName>
    <definedName name="__APW_RESTORE_DATA3863__" hidden="1">#REF!</definedName>
    <definedName name="__APW_RESTORE_DATA3864__" hidden="1">#REF!</definedName>
    <definedName name="__APW_RESTORE_DATA3865__" hidden="1">#REF!</definedName>
    <definedName name="__APW_RESTORE_DATA3866__" hidden="1">#REF!</definedName>
    <definedName name="__APW_RESTORE_DATA3867__" hidden="1">#REF!</definedName>
    <definedName name="__APW_RESTORE_DATA3868__" hidden="1">#REF!</definedName>
    <definedName name="__APW_RESTORE_DATA3869__" hidden="1">#REF!</definedName>
    <definedName name="__APW_RESTORE_DATA387__" hidden="1">#REF!</definedName>
    <definedName name="__APW_RESTORE_DATA3870__" hidden="1">#REF!</definedName>
    <definedName name="__APW_RESTORE_DATA3871__" hidden="1">#REF!</definedName>
    <definedName name="__APW_RESTORE_DATA3872__" hidden="1">#REF!</definedName>
    <definedName name="__APW_RESTORE_DATA3873__" hidden="1">#REF!</definedName>
    <definedName name="__APW_RESTORE_DATA3874__" hidden="1">#REF!</definedName>
    <definedName name="__APW_RESTORE_DATA3875__" hidden="1">#REF!</definedName>
    <definedName name="__APW_RESTORE_DATA3876__" hidden="1">#REF!</definedName>
    <definedName name="__APW_RESTORE_DATA3877__" hidden="1">#REF!</definedName>
    <definedName name="__APW_RESTORE_DATA3878__" hidden="1">#REF!</definedName>
    <definedName name="__APW_RESTORE_DATA3879__" hidden="1">#REF!</definedName>
    <definedName name="__APW_RESTORE_DATA388__" hidden="1">#REF!</definedName>
    <definedName name="__APW_RESTORE_DATA3880__" hidden="1">#REF!</definedName>
    <definedName name="__APW_RESTORE_DATA3881__" hidden="1">#REF!</definedName>
    <definedName name="__APW_RESTORE_DATA3882__" hidden="1">#REF!</definedName>
    <definedName name="__APW_RESTORE_DATA3883__" hidden="1">#REF!</definedName>
    <definedName name="__APW_RESTORE_DATA3884__" hidden="1">#REF!</definedName>
    <definedName name="__APW_RESTORE_DATA3885__" hidden="1">#REF!</definedName>
    <definedName name="__APW_RESTORE_DATA3886__" hidden="1">#REF!</definedName>
    <definedName name="__APW_RESTORE_DATA3887__" hidden="1">#REF!</definedName>
    <definedName name="__APW_RESTORE_DATA3888__" hidden="1">#REF!</definedName>
    <definedName name="__APW_RESTORE_DATA3889__" hidden="1">#REF!</definedName>
    <definedName name="__APW_RESTORE_DATA389__" hidden="1">#REF!</definedName>
    <definedName name="__APW_RESTORE_DATA3890__" hidden="1">#REF!</definedName>
    <definedName name="__APW_RESTORE_DATA3891__" hidden="1">#REF!</definedName>
    <definedName name="__APW_RESTORE_DATA3892__" hidden="1">#REF!</definedName>
    <definedName name="__APW_RESTORE_DATA3893__" hidden="1">#REF!</definedName>
    <definedName name="__APW_RESTORE_DATA3894__" hidden="1">#REF!</definedName>
    <definedName name="__APW_RESTORE_DATA3895__" hidden="1">#REF!</definedName>
    <definedName name="__APW_RESTORE_DATA3896__" hidden="1">#REF!</definedName>
    <definedName name="__APW_RESTORE_DATA3897__" hidden="1">#REF!</definedName>
    <definedName name="__APW_RESTORE_DATA3898__" hidden="1">#REF!</definedName>
    <definedName name="__APW_RESTORE_DATA3899__" hidden="1">#REF!</definedName>
    <definedName name="__APW_RESTORE_DATA39__" hidden="1">#REF!</definedName>
    <definedName name="__APW_RESTORE_DATA390__" hidden="1">#REF!</definedName>
    <definedName name="__APW_RESTORE_DATA3900__" hidden="1">#REF!</definedName>
    <definedName name="__APW_RESTORE_DATA3901__" hidden="1">#REF!</definedName>
    <definedName name="__APW_RESTORE_DATA3902__" hidden="1">#REF!</definedName>
    <definedName name="__APW_RESTORE_DATA3903__" hidden="1">#REF!</definedName>
    <definedName name="__APW_RESTORE_DATA3904__" hidden="1">#REF!</definedName>
    <definedName name="__APW_RESTORE_DATA3905__" hidden="1">#REF!</definedName>
    <definedName name="__APW_RESTORE_DATA3906__" hidden="1">#REF!</definedName>
    <definedName name="__APW_RESTORE_DATA3907__" hidden="1">#REF!</definedName>
    <definedName name="__APW_RESTORE_DATA3908__" hidden="1">#REF!</definedName>
    <definedName name="__APW_RESTORE_DATA3909__" hidden="1">#REF!</definedName>
    <definedName name="__APW_RESTORE_DATA391__" hidden="1">#REF!</definedName>
    <definedName name="__APW_RESTORE_DATA3910__" hidden="1">#REF!</definedName>
    <definedName name="__APW_RESTORE_DATA3911__" hidden="1">#REF!</definedName>
    <definedName name="__APW_RESTORE_DATA3912__" hidden="1">#REF!</definedName>
    <definedName name="__APW_RESTORE_DATA3913__" hidden="1">#REF!</definedName>
    <definedName name="__APW_RESTORE_DATA3914__" hidden="1">#REF!</definedName>
    <definedName name="__APW_RESTORE_DATA3915__" hidden="1">#REF!</definedName>
    <definedName name="__APW_RESTORE_DATA3916__" hidden="1">#REF!</definedName>
    <definedName name="__APW_RESTORE_DATA3917__" hidden="1">#REF!</definedName>
    <definedName name="__APW_RESTORE_DATA3918__" hidden="1">#REF!</definedName>
    <definedName name="__APW_RESTORE_DATA3919__" hidden="1">#REF!</definedName>
    <definedName name="__APW_RESTORE_DATA392__" hidden="1">#REF!</definedName>
    <definedName name="__APW_RESTORE_DATA3920__" hidden="1">#REF!</definedName>
    <definedName name="__APW_RESTORE_DATA3921__" hidden="1">#REF!</definedName>
    <definedName name="__APW_RESTORE_DATA3922__" hidden="1">#REF!</definedName>
    <definedName name="__APW_RESTORE_DATA3923__" hidden="1">#REF!</definedName>
    <definedName name="__APW_RESTORE_DATA3924__" hidden="1">#REF!</definedName>
    <definedName name="__APW_RESTORE_DATA3925__" hidden="1">#REF!</definedName>
    <definedName name="__APW_RESTORE_DATA3926__" hidden="1">#REF!</definedName>
    <definedName name="__APW_RESTORE_DATA3927__" hidden="1">#REF!</definedName>
    <definedName name="__APW_RESTORE_DATA3928__" hidden="1">#REF!</definedName>
    <definedName name="__APW_RESTORE_DATA3929__" hidden="1">#REF!</definedName>
    <definedName name="__APW_RESTORE_DATA393__" hidden="1">#REF!</definedName>
    <definedName name="__APW_RESTORE_DATA3930__" hidden="1">#REF!</definedName>
    <definedName name="__APW_RESTORE_DATA3931__" hidden="1">#REF!</definedName>
    <definedName name="__APW_RESTORE_DATA3932__" hidden="1">#REF!</definedName>
    <definedName name="__APW_RESTORE_DATA3933__" hidden="1">#REF!</definedName>
    <definedName name="__APW_RESTORE_DATA3934__" hidden="1">#REF!</definedName>
    <definedName name="__APW_RESTORE_DATA3935__" hidden="1">#REF!</definedName>
    <definedName name="__APW_RESTORE_DATA3936__" hidden="1">#REF!</definedName>
    <definedName name="__APW_RESTORE_DATA3937__" hidden="1">#REF!</definedName>
    <definedName name="__APW_RESTORE_DATA3938__" hidden="1">#REF!</definedName>
    <definedName name="__APW_RESTORE_DATA3939__" hidden="1">#REF!</definedName>
    <definedName name="__APW_RESTORE_DATA394__" hidden="1">#REF!</definedName>
    <definedName name="__APW_RESTORE_DATA3940__" hidden="1">#REF!</definedName>
    <definedName name="__APW_RESTORE_DATA3941__" hidden="1">#REF!</definedName>
    <definedName name="__APW_RESTORE_DATA3942__" hidden="1">#REF!</definedName>
    <definedName name="__APW_RESTORE_DATA3943__" hidden="1">#REF!</definedName>
    <definedName name="__APW_RESTORE_DATA3944__" hidden="1">#REF!</definedName>
    <definedName name="__APW_RESTORE_DATA3945__" hidden="1">#REF!</definedName>
    <definedName name="__APW_RESTORE_DATA3946__" hidden="1">#REF!</definedName>
    <definedName name="__APW_RESTORE_DATA3947__" hidden="1">#REF!</definedName>
    <definedName name="__APW_RESTORE_DATA3948__" hidden="1">#REF!</definedName>
    <definedName name="__APW_RESTORE_DATA3949__" hidden="1">#REF!</definedName>
    <definedName name="__APW_RESTORE_DATA395__" hidden="1">#REF!</definedName>
    <definedName name="__APW_RESTORE_DATA3950__" hidden="1">#REF!</definedName>
    <definedName name="__APW_RESTORE_DATA3951__" hidden="1">#REF!</definedName>
    <definedName name="__APW_RESTORE_DATA3952__" hidden="1">#REF!</definedName>
    <definedName name="__APW_RESTORE_DATA3953__" hidden="1">#REF!</definedName>
    <definedName name="__APW_RESTORE_DATA3954__" hidden="1">#REF!</definedName>
    <definedName name="__APW_RESTORE_DATA3955__" hidden="1">#REF!</definedName>
    <definedName name="__APW_RESTORE_DATA3956__" hidden="1">#REF!</definedName>
    <definedName name="__APW_RESTORE_DATA3957__" hidden="1">#REF!</definedName>
    <definedName name="__APW_RESTORE_DATA3958__" hidden="1">#REF!</definedName>
    <definedName name="__APW_RESTORE_DATA3959__" hidden="1">#REF!</definedName>
    <definedName name="__APW_RESTORE_DATA396__" hidden="1">#REF!</definedName>
    <definedName name="__APW_RESTORE_DATA3960__" hidden="1">#REF!</definedName>
    <definedName name="__APW_RESTORE_DATA3961__" hidden="1">#REF!</definedName>
    <definedName name="__APW_RESTORE_DATA3962__" hidden="1">#REF!</definedName>
    <definedName name="__APW_RESTORE_DATA3963__" hidden="1">#REF!</definedName>
    <definedName name="__APW_RESTORE_DATA3964__" hidden="1">#REF!</definedName>
    <definedName name="__APW_RESTORE_DATA3965__" hidden="1">#REF!</definedName>
    <definedName name="__APW_RESTORE_DATA3966__" hidden="1">#REF!</definedName>
    <definedName name="__APW_RESTORE_DATA3967__" hidden="1">#REF!</definedName>
    <definedName name="__APW_RESTORE_DATA3968__" hidden="1">#REF!</definedName>
    <definedName name="__APW_RESTORE_DATA3969__" hidden="1">#REF!</definedName>
    <definedName name="__APW_RESTORE_DATA397__" hidden="1">#REF!</definedName>
    <definedName name="__APW_RESTORE_DATA3970__" hidden="1">#REF!</definedName>
    <definedName name="__APW_RESTORE_DATA3971__" hidden="1">#REF!</definedName>
    <definedName name="__APW_RESTORE_DATA3972__" hidden="1">#REF!</definedName>
    <definedName name="__APW_RESTORE_DATA3973__" hidden="1">#REF!</definedName>
    <definedName name="__APW_RESTORE_DATA3974__" hidden="1">#REF!</definedName>
    <definedName name="__APW_RESTORE_DATA3975__" hidden="1">#REF!</definedName>
    <definedName name="__APW_RESTORE_DATA3976__" hidden="1">#REF!</definedName>
    <definedName name="__APW_RESTORE_DATA3977__" hidden="1">#REF!</definedName>
    <definedName name="__APW_RESTORE_DATA3978__" hidden="1">#REF!</definedName>
    <definedName name="__APW_RESTORE_DATA3979__" hidden="1">#REF!</definedName>
    <definedName name="__APW_RESTORE_DATA398__" hidden="1">#REF!</definedName>
    <definedName name="__APW_RESTORE_DATA3980__" hidden="1">#REF!</definedName>
    <definedName name="__APW_RESTORE_DATA3981__" hidden="1">#REF!</definedName>
    <definedName name="__APW_RESTORE_DATA3982__" hidden="1">#REF!</definedName>
    <definedName name="__APW_RESTORE_DATA3983__" hidden="1">#REF!</definedName>
    <definedName name="__APW_RESTORE_DATA3984__" hidden="1">#REF!</definedName>
    <definedName name="__APW_RESTORE_DATA3985__" hidden="1">#REF!</definedName>
    <definedName name="__APW_RESTORE_DATA3986__" hidden="1">#REF!</definedName>
    <definedName name="__APW_RESTORE_DATA3987__" hidden="1">#REF!</definedName>
    <definedName name="__APW_RESTORE_DATA3988__" hidden="1">#REF!</definedName>
    <definedName name="__APW_RESTORE_DATA3989__" hidden="1">#REF!</definedName>
    <definedName name="__APW_RESTORE_DATA399__" hidden="1">#REF!</definedName>
    <definedName name="__APW_RESTORE_DATA3990__" hidden="1">#REF!</definedName>
    <definedName name="__APW_RESTORE_DATA3991__" hidden="1">#REF!</definedName>
    <definedName name="__APW_RESTORE_DATA3992__" hidden="1">#REF!</definedName>
    <definedName name="__APW_RESTORE_DATA3993__" hidden="1">#REF!</definedName>
    <definedName name="__APW_RESTORE_DATA3994__" hidden="1">#REF!</definedName>
    <definedName name="__APW_RESTORE_DATA3995__" hidden="1">#REF!</definedName>
    <definedName name="__APW_RESTORE_DATA3996__" hidden="1">#REF!</definedName>
    <definedName name="__APW_RESTORE_DATA3997__" hidden="1">#REF!</definedName>
    <definedName name="__APW_RESTORE_DATA3998__" hidden="1">#REF!</definedName>
    <definedName name="__APW_RESTORE_DATA39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00__" hidden="1">#REF!</definedName>
    <definedName name="__APW_RESTORE_DATA4001__" hidden="1">#REF!</definedName>
    <definedName name="__APW_RESTORE_DATA4002__" hidden="1">#REF!</definedName>
    <definedName name="__APW_RESTORE_DATA4003__" hidden="1">#REF!</definedName>
    <definedName name="__APW_RESTORE_DATA4004__" hidden="1">#REF!</definedName>
    <definedName name="__APW_RESTORE_DATA4005__" hidden="1">#REF!</definedName>
    <definedName name="__APW_RESTORE_DATA4006__" hidden="1">#REF!</definedName>
    <definedName name="__APW_RESTORE_DATA4007__" hidden="1">#REF!</definedName>
    <definedName name="__APW_RESTORE_DATA4008__" hidden="1">#REF!</definedName>
    <definedName name="__APW_RESTORE_DATA4009__" hidden="1">#REF!</definedName>
    <definedName name="__APW_RESTORE_DATA401__" hidden="1">#REF!</definedName>
    <definedName name="__APW_RESTORE_DATA4010__" hidden="1">#REF!</definedName>
    <definedName name="__APW_RESTORE_DATA4011__" hidden="1">#REF!</definedName>
    <definedName name="__APW_RESTORE_DATA4012__" hidden="1">#REF!</definedName>
    <definedName name="__APW_RESTORE_DATA4013__" hidden="1">#REF!</definedName>
    <definedName name="__APW_RESTORE_DATA4014__" hidden="1">#REF!</definedName>
    <definedName name="__APW_RESTORE_DATA4015__" hidden="1">#REF!</definedName>
    <definedName name="__APW_RESTORE_DATA4016__" hidden="1">#REF!</definedName>
    <definedName name="__APW_RESTORE_DATA4017__" hidden="1">#REF!</definedName>
    <definedName name="__APW_RESTORE_DATA4018__" hidden="1">#REF!</definedName>
    <definedName name="__APW_RESTORE_DATA4019__" hidden="1">#REF!</definedName>
    <definedName name="__APW_RESTORE_DATA402__" hidden="1">#REF!</definedName>
    <definedName name="__APW_RESTORE_DATA4020__" hidden="1">#REF!</definedName>
    <definedName name="__APW_RESTORE_DATA4021__" hidden="1">#REF!</definedName>
    <definedName name="__APW_RESTORE_DATA4022__" hidden="1">#REF!</definedName>
    <definedName name="__APW_RESTORE_DATA4023__" hidden="1">#REF!</definedName>
    <definedName name="__APW_RESTORE_DATA4024__" hidden="1">#REF!</definedName>
    <definedName name="__APW_RESTORE_DATA4025__" hidden="1">#REF!</definedName>
    <definedName name="__APW_RESTORE_DATA4026__" hidden="1">#REF!</definedName>
    <definedName name="__APW_RESTORE_DATA4027__" hidden="1">#REF!</definedName>
    <definedName name="__APW_RESTORE_DATA4028__" hidden="1">#REF!</definedName>
    <definedName name="__APW_RESTORE_DATA4029__" hidden="1">#REF!</definedName>
    <definedName name="__APW_RESTORE_DATA403__" hidden="1">#REF!</definedName>
    <definedName name="__APW_RESTORE_DATA4030__" hidden="1">#REF!</definedName>
    <definedName name="__APW_RESTORE_DATA4031__" hidden="1">#REF!</definedName>
    <definedName name="__APW_RESTORE_DATA4032__" hidden="1">#REF!</definedName>
    <definedName name="__APW_RESTORE_DATA4033__" hidden="1">#REF!</definedName>
    <definedName name="__APW_RESTORE_DATA4034__" hidden="1">#REF!</definedName>
    <definedName name="__APW_RESTORE_DATA4035__" hidden="1">#REF!</definedName>
    <definedName name="__APW_RESTORE_DATA4036__" hidden="1">#REF!</definedName>
    <definedName name="__APW_RESTORE_DATA4037__" hidden="1">#REF!</definedName>
    <definedName name="__APW_RESTORE_DATA4038__" hidden="1">#REF!</definedName>
    <definedName name="__APW_RESTORE_DATA4039__" hidden="1">#REF!</definedName>
    <definedName name="__APW_RESTORE_DATA404__" hidden="1">#REF!</definedName>
    <definedName name="__APW_RESTORE_DATA4040__" hidden="1">#REF!</definedName>
    <definedName name="__APW_RESTORE_DATA4041__" hidden="1">#REF!</definedName>
    <definedName name="__APW_RESTORE_DATA4042__" hidden="1">#REF!</definedName>
    <definedName name="__APW_RESTORE_DATA4043__" hidden="1">#REF!</definedName>
    <definedName name="__APW_RESTORE_DATA4044__" hidden="1">#REF!</definedName>
    <definedName name="__APW_RESTORE_DATA4045__" hidden="1">#REF!</definedName>
    <definedName name="__APW_RESTORE_DATA4046__" hidden="1">#REF!</definedName>
    <definedName name="__APW_RESTORE_DATA4047__" hidden="1">#REF!</definedName>
    <definedName name="__APW_RESTORE_DATA4048__" hidden="1">#REF!</definedName>
    <definedName name="__APW_RESTORE_DATA4049__" hidden="1">#REF!</definedName>
    <definedName name="__APW_RESTORE_DATA405__" hidden="1">#REF!</definedName>
    <definedName name="__APW_RESTORE_DATA4050__" hidden="1">#REF!</definedName>
    <definedName name="__APW_RESTORE_DATA4051__" hidden="1">#REF!</definedName>
    <definedName name="__APW_RESTORE_DATA4052__" hidden="1">#REF!</definedName>
    <definedName name="__APW_RESTORE_DATA4053__" hidden="1">#REF!</definedName>
    <definedName name="__APW_RESTORE_DATA4054__" hidden="1">#REF!</definedName>
    <definedName name="__APW_RESTORE_DATA4055__" hidden="1">#REF!</definedName>
    <definedName name="__APW_RESTORE_DATA4056__" hidden="1">#REF!</definedName>
    <definedName name="__APW_RESTORE_DATA4057__" hidden="1">#REF!</definedName>
    <definedName name="__APW_RESTORE_DATA4058__" hidden="1">#REF!</definedName>
    <definedName name="__APW_RESTORE_DATA4059__" hidden="1">#REF!</definedName>
    <definedName name="__APW_RESTORE_DATA406__" hidden="1">#REF!</definedName>
    <definedName name="__APW_RESTORE_DATA4060__" hidden="1">#REF!</definedName>
    <definedName name="__APW_RESTORE_DATA4061__" hidden="1">#REF!</definedName>
    <definedName name="__APW_RESTORE_DATA4062__" hidden="1">#REF!</definedName>
    <definedName name="__APW_RESTORE_DATA4063__" hidden="1">#REF!</definedName>
    <definedName name="__APW_RESTORE_DATA4064__" hidden="1">#REF!</definedName>
    <definedName name="__APW_RESTORE_DATA4065__" hidden="1">#REF!</definedName>
    <definedName name="__APW_RESTORE_DATA4066__" hidden="1">#REF!</definedName>
    <definedName name="__APW_RESTORE_DATA4067__" hidden="1">#REF!</definedName>
    <definedName name="__APW_RESTORE_DATA4068__" hidden="1">#REF!</definedName>
    <definedName name="__APW_RESTORE_DATA4069__" hidden="1">#REF!</definedName>
    <definedName name="__APW_RESTORE_DATA407__" hidden="1">#REF!</definedName>
    <definedName name="__APW_RESTORE_DATA4070__" hidden="1">#REF!</definedName>
    <definedName name="__APW_RESTORE_DATA4071__" hidden="1">#REF!</definedName>
    <definedName name="__APW_RESTORE_DATA4072__" hidden="1">#REF!</definedName>
    <definedName name="__APW_RESTORE_DATA4073__" hidden="1">#REF!</definedName>
    <definedName name="__APW_RESTORE_DATA4074__" hidden="1">#REF!</definedName>
    <definedName name="__APW_RESTORE_DATA4075__" hidden="1">#REF!</definedName>
    <definedName name="__APW_RESTORE_DATA4076__" hidden="1">#REF!</definedName>
    <definedName name="__APW_RESTORE_DATA4077__" hidden="1">#REF!</definedName>
    <definedName name="__APW_RESTORE_DATA4078__" hidden="1">#REF!</definedName>
    <definedName name="__APW_RESTORE_DATA4079__" hidden="1">#REF!</definedName>
    <definedName name="__APW_RESTORE_DATA408__" hidden="1">#REF!</definedName>
    <definedName name="__APW_RESTORE_DATA4080__" hidden="1">#REF!</definedName>
    <definedName name="__APW_RESTORE_DATA4081__" hidden="1">#REF!</definedName>
    <definedName name="__APW_RESTORE_DATA4082__" hidden="1">#REF!</definedName>
    <definedName name="__APW_RESTORE_DATA4083__" hidden="1">#REF!</definedName>
    <definedName name="__APW_RESTORE_DATA4084__" hidden="1">#REF!</definedName>
    <definedName name="__APW_RESTORE_DATA4085__" hidden="1">#REF!</definedName>
    <definedName name="__APW_RESTORE_DATA4086__" hidden="1">#REF!</definedName>
    <definedName name="__APW_RESTORE_DATA4087__" hidden="1">#REF!</definedName>
    <definedName name="__APW_RESTORE_DATA4088__" hidden="1">#REF!</definedName>
    <definedName name="__APW_RESTORE_DATA4089__" hidden="1">#REF!</definedName>
    <definedName name="__APW_RESTORE_DATA409__" hidden="1">#REF!</definedName>
    <definedName name="__APW_RESTORE_DATA4090__" hidden="1">#REF!</definedName>
    <definedName name="__APW_RESTORE_DATA4091__" hidden="1">#REF!</definedName>
    <definedName name="__APW_RESTORE_DATA4092__" hidden="1">#REF!</definedName>
    <definedName name="__APW_RESTORE_DATA4093__" hidden="1">#REF!</definedName>
    <definedName name="__APW_RESTORE_DATA4094__" hidden="1">#REF!</definedName>
    <definedName name="__APW_RESTORE_DATA4095__" hidden="1">#REF!</definedName>
    <definedName name="__APW_RESTORE_DATA4096__" hidden="1">#REF!</definedName>
    <definedName name="__APW_RESTORE_DATA4097__" hidden="1">#REF!</definedName>
    <definedName name="__APW_RESTORE_DATA4098__" hidden="1">#REF!</definedName>
    <definedName name="__APW_RESTORE_DATA4099__" hidden="1">#REF!</definedName>
    <definedName name="__APW_RESTORE_DATA41__" hidden="1">#REF!</definedName>
    <definedName name="__APW_RESTORE_DATA410__" hidden="1">#REF!</definedName>
    <definedName name="__APW_RESTORE_DATA4100__" hidden="1">#REF!</definedName>
    <definedName name="__APW_RESTORE_DATA4101__" hidden="1">#REF!</definedName>
    <definedName name="__APW_RESTORE_DATA4102__" hidden="1">#REF!</definedName>
    <definedName name="__APW_RESTORE_DATA4103__" hidden="1">#REF!</definedName>
    <definedName name="__APW_RESTORE_DATA4104__" hidden="1">#REF!</definedName>
    <definedName name="__APW_RESTORE_DATA4105__" hidden="1">#REF!</definedName>
    <definedName name="__APW_RESTORE_DATA4106__" hidden="1">#REF!</definedName>
    <definedName name="__APW_RESTORE_DATA4107__" hidden="1">#REF!</definedName>
    <definedName name="__APW_RESTORE_DATA4108__" hidden="1">#REF!</definedName>
    <definedName name="__APW_RESTORE_DATA4109__" hidden="1">#REF!</definedName>
    <definedName name="__APW_RESTORE_DATA411__" hidden="1">#REF!</definedName>
    <definedName name="__APW_RESTORE_DATA4110__" hidden="1">#REF!</definedName>
    <definedName name="__APW_RESTORE_DATA4111__" hidden="1">#REF!</definedName>
    <definedName name="__APW_RESTORE_DATA4112__" hidden="1">#REF!</definedName>
    <definedName name="__APW_RESTORE_DATA4113__" hidden="1">#REF!</definedName>
    <definedName name="__APW_RESTORE_DATA4114__" hidden="1">#REF!</definedName>
    <definedName name="__APW_RESTORE_DATA4115__" hidden="1">#REF!</definedName>
    <definedName name="__APW_RESTORE_DATA4116__" hidden="1">#REF!</definedName>
    <definedName name="__APW_RESTORE_DATA4117__" hidden="1">#REF!</definedName>
    <definedName name="__APW_RESTORE_DATA4118__" hidden="1">#REF!</definedName>
    <definedName name="__APW_RESTORE_DATA4119__" hidden="1">#REF!</definedName>
    <definedName name="__APW_RESTORE_DATA412__" hidden="1">#REF!</definedName>
    <definedName name="__APW_RESTORE_DATA4120__" hidden="1">#REF!</definedName>
    <definedName name="__APW_RESTORE_DATA4121__" hidden="1">#REF!</definedName>
    <definedName name="__APW_RESTORE_DATA4122__" hidden="1">#REF!</definedName>
    <definedName name="__APW_RESTORE_DATA4123__" hidden="1">#REF!</definedName>
    <definedName name="__APW_RESTORE_DATA4124__" hidden="1">#REF!</definedName>
    <definedName name="__APW_RESTORE_DATA4125__" hidden="1">#REF!</definedName>
    <definedName name="__APW_RESTORE_DATA4126__" hidden="1">#REF!</definedName>
    <definedName name="__APW_RESTORE_DATA4127__" hidden="1">#REF!</definedName>
    <definedName name="__APW_RESTORE_DATA4128__" hidden="1">#REF!</definedName>
    <definedName name="__APW_RESTORE_DATA4129__" hidden="1">#REF!</definedName>
    <definedName name="__APW_RESTORE_DATA413__" hidden="1">#REF!</definedName>
    <definedName name="__APW_RESTORE_DATA4130__" hidden="1">#REF!</definedName>
    <definedName name="__APW_RESTORE_DATA4131__" hidden="1">#REF!</definedName>
    <definedName name="__APW_RESTORE_DATA4132__" hidden="1">#REF!</definedName>
    <definedName name="__APW_RESTORE_DATA4133__" hidden="1">#REF!</definedName>
    <definedName name="__APW_RESTORE_DATA4134__" hidden="1">#REF!</definedName>
    <definedName name="__APW_RESTORE_DATA4135__" hidden="1">#REF!</definedName>
    <definedName name="__APW_RESTORE_DATA4136__" hidden="1">#REF!</definedName>
    <definedName name="__APW_RESTORE_DATA4137__" hidden="1">#REF!</definedName>
    <definedName name="__APW_RESTORE_DATA4138__" hidden="1">#REF!</definedName>
    <definedName name="__APW_RESTORE_DATA4139__" hidden="1">#REF!</definedName>
    <definedName name="__APW_RESTORE_DATA414__" hidden="1">#REF!</definedName>
    <definedName name="__APW_RESTORE_DATA4140__" hidden="1">#REF!</definedName>
    <definedName name="__APW_RESTORE_DATA4141__" hidden="1">#REF!</definedName>
    <definedName name="__APW_RESTORE_DATA4142__" hidden="1">#REF!</definedName>
    <definedName name="__APW_RESTORE_DATA4143__" hidden="1">#REF!</definedName>
    <definedName name="__APW_RESTORE_DATA4144__" hidden="1">#REF!</definedName>
    <definedName name="__APW_RESTORE_DATA4145__" hidden="1">#REF!</definedName>
    <definedName name="__APW_RESTORE_DATA4146__" hidden="1">#REF!</definedName>
    <definedName name="__APW_RESTORE_DATA4147__" hidden="1">#REF!</definedName>
    <definedName name="__APW_RESTORE_DATA4148__" hidden="1">#REF!</definedName>
    <definedName name="__APW_RESTORE_DATA4149__" hidden="1">#REF!</definedName>
    <definedName name="__APW_RESTORE_DATA415__" hidden="1">#REF!</definedName>
    <definedName name="__APW_RESTORE_DATA4150__" hidden="1">#REF!</definedName>
    <definedName name="__APW_RESTORE_DATA4151__" hidden="1">#REF!</definedName>
    <definedName name="__APW_RESTORE_DATA4152__" hidden="1">#REF!</definedName>
    <definedName name="__APW_RESTORE_DATA4153__" hidden="1">#REF!</definedName>
    <definedName name="__APW_RESTORE_DATA4154__" hidden="1">#REF!</definedName>
    <definedName name="__APW_RESTORE_DATA4155__" hidden="1">#REF!</definedName>
    <definedName name="__APW_RESTORE_DATA4156__" hidden="1">#REF!</definedName>
    <definedName name="__APW_RESTORE_DATA4157__" hidden="1">#REF!</definedName>
    <definedName name="__APW_RESTORE_DATA4158__" hidden="1">#REF!</definedName>
    <definedName name="__APW_RESTORE_DATA4159__" hidden="1">#REF!</definedName>
    <definedName name="__APW_RESTORE_DATA416__" hidden="1">#REF!</definedName>
    <definedName name="__APW_RESTORE_DATA4160__" hidden="1">#REF!</definedName>
    <definedName name="__APW_RESTORE_DATA4161__" hidden="1">#REF!</definedName>
    <definedName name="__APW_RESTORE_DATA4162__" hidden="1">#REF!</definedName>
    <definedName name="__APW_RESTORE_DATA4163__" hidden="1">#REF!</definedName>
    <definedName name="__APW_RESTORE_DATA4164__" hidden="1">#REF!</definedName>
    <definedName name="__APW_RESTORE_DATA4165__" hidden="1">#REF!</definedName>
    <definedName name="__APW_RESTORE_DATA4166__" hidden="1">#REF!</definedName>
    <definedName name="__APW_RESTORE_DATA4167__" hidden="1">#REF!</definedName>
    <definedName name="__APW_RESTORE_DATA4168__" hidden="1">#REF!</definedName>
    <definedName name="__APW_RESTORE_DATA4169__" hidden="1">#REF!</definedName>
    <definedName name="__APW_RESTORE_DATA417__" hidden="1">#REF!</definedName>
    <definedName name="__APW_RESTORE_DATA4170__" hidden="1">#REF!</definedName>
    <definedName name="__APW_RESTORE_DATA4171__" hidden="1">#REF!</definedName>
    <definedName name="__APW_RESTORE_DATA4172__" hidden="1">#REF!</definedName>
    <definedName name="__APW_RESTORE_DATA4173__" hidden="1">#REF!</definedName>
    <definedName name="__APW_RESTORE_DATA4174__" hidden="1">#REF!</definedName>
    <definedName name="__APW_RESTORE_DATA4175__" hidden="1">#REF!</definedName>
    <definedName name="__APW_RESTORE_DATA4176__" hidden="1">#REF!</definedName>
    <definedName name="__APW_RESTORE_DATA4177__" hidden="1">#REF!</definedName>
    <definedName name="__APW_RESTORE_DATA4178__" hidden="1">#REF!</definedName>
    <definedName name="__APW_RESTORE_DATA4179__" hidden="1">#REF!</definedName>
    <definedName name="__APW_RESTORE_DATA418__" hidden="1">#REF!</definedName>
    <definedName name="__APW_RESTORE_DATA4180__" hidden="1">#REF!</definedName>
    <definedName name="__APW_RESTORE_DATA4181__" hidden="1">#REF!</definedName>
    <definedName name="__APW_RESTORE_DATA4182__" hidden="1">#REF!</definedName>
    <definedName name="__APW_RESTORE_DATA4183__" hidden="1">#REF!</definedName>
    <definedName name="__APW_RESTORE_DATA4184__" hidden="1">#REF!</definedName>
    <definedName name="__APW_RESTORE_DATA4185__" hidden="1">#REF!</definedName>
    <definedName name="__APW_RESTORE_DATA4186__" hidden="1">#REF!</definedName>
    <definedName name="__APW_RESTORE_DATA4187__" hidden="1">#REF!</definedName>
    <definedName name="__APW_RESTORE_DATA4188__" hidden="1">#REF!</definedName>
    <definedName name="__APW_RESTORE_DATA4189__" hidden="1">#REF!</definedName>
    <definedName name="__APW_RESTORE_DATA419__" hidden="1">#REF!</definedName>
    <definedName name="__APW_RESTORE_DATA4190__" hidden="1">#REF!</definedName>
    <definedName name="__APW_RESTORE_DATA4191__" hidden="1">#REF!</definedName>
    <definedName name="__APW_RESTORE_DATA4192__" hidden="1">#REF!</definedName>
    <definedName name="__APW_RESTORE_DATA4193__" hidden="1">#REF!</definedName>
    <definedName name="__APW_RESTORE_DATA4194__" hidden="1">#REF!</definedName>
    <definedName name="__APW_RESTORE_DATA4195__" hidden="1">#REF!</definedName>
    <definedName name="__APW_RESTORE_DATA4196__" hidden="1">#REF!</definedName>
    <definedName name="__APW_RESTORE_DATA4197__" hidden="1">#REF!</definedName>
    <definedName name="__APW_RESTORE_DATA4198__" hidden="1">#REF!</definedName>
    <definedName name="__APW_RESTORE_DATA4199__" hidden="1">#REF!</definedName>
    <definedName name="__APW_RESTORE_DATA42__" hidden="1">#REF!</definedName>
    <definedName name="__APW_RESTORE_DATA420__" hidden="1">#REF!</definedName>
    <definedName name="__APW_RESTORE_DATA4200__" hidden="1">#REF!</definedName>
    <definedName name="__APW_RESTORE_DATA4201__" hidden="1">#REF!</definedName>
    <definedName name="__APW_RESTORE_DATA4202__" hidden="1">#REF!</definedName>
    <definedName name="__APW_RESTORE_DATA4203__" hidden="1">#REF!</definedName>
    <definedName name="__APW_RESTORE_DATA4204__" hidden="1">#REF!</definedName>
    <definedName name="__APW_RESTORE_DATA4205__" hidden="1">#REF!</definedName>
    <definedName name="__APW_RESTORE_DATA4206__" hidden="1">#REF!</definedName>
    <definedName name="__APW_RESTORE_DATA4207__" hidden="1">#REF!</definedName>
    <definedName name="__APW_RESTORE_DATA4208__" hidden="1">#REF!</definedName>
    <definedName name="__APW_RESTORE_DATA4209__" hidden="1">#REF!</definedName>
    <definedName name="__APW_RESTORE_DATA421__" hidden="1">#REF!</definedName>
    <definedName name="__APW_RESTORE_DATA4210__" hidden="1">#REF!</definedName>
    <definedName name="__APW_RESTORE_DATA4211__" hidden="1">#REF!</definedName>
    <definedName name="__APW_RESTORE_DATA4212__" hidden="1">#REF!</definedName>
    <definedName name="__APW_RESTORE_DATA4213__" hidden="1">#REF!</definedName>
    <definedName name="__APW_RESTORE_DATA4214__" hidden="1">#REF!</definedName>
    <definedName name="__APW_RESTORE_DATA4215__" hidden="1">#REF!</definedName>
    <definedName name="__APW_RESTORE_DATA4216__" hidden="1">#REF!</definedName>
    <definedName name="__APW_RESTORE_DATA4217__" hidden="1">#REF!</definedName>
    <definedName name="__APW_RESTORE_DATA4218__" hidden="1">#REF!</definedName>
    <definedName name="__APW_RESTORE_DATA4219__" hidden="1">#REF!</definedName>
    <definedName name="__APW_RESTORE_DATA422__" hidden="1">#REF!</definedName>
    <definedName name="__APW_RESTORE_DATA4220__" hidden="1">#REF!</definedName>
    <definedName name="__APW_RESTORE_DATA4221__" hidden="1">#REF!</definedName>
    <definedName name="__APW_RESTORE_DATA4222__" hidden="1">#REF!</definedName>
    <definedName name="__APW_RESTORE_DATA4223__" hidden="1">#REF!</definedName>
    <definedName name="__APW_RESTORE_DATA4224__" hidden="1">#REF!</definedName>
    <definedName name="__APW_RESTORE_DATA4225__" hidden="1">#REF!</definedName>
    <definedName name="__APW_RESTORE_DATA4226__" hidden="1">#REF!</definedName>
    <definedName name="__APW_RESTORE_DATA4227__" hidden="1">#REF!</definedName>
    <definedName name="__APW_RESTORE_DATA4228__" hidden="1">#REF!</definedName>
    <definedName name="__APW_RESTORE_DATA4229__" hidden="1">#REF!</definedName>
    <definedName name="__APW_RESTORE_DATA423__" hidden="1">#REF!</definedName>
    <definedName name="__APW_RESTORE_DATA4230__" hidden="1">#REF!</definedName>
    <definedName name="__APW_RESTORE_DATA4231__" hidden="1">#REF!</definedName>
    <definedName name="__APW_RESTORE_DATA4232__" hidden="1">#REF!</definedName>
    <definedName name="__APW_RESTORE_DATA4233__" hidden="1">#REF!</definedName>
    <definedName name="__APW_RESTORE_DATA4234__" hidden="1">#REF!</definedName>
    <definedName name="__APW_RESTORE_DATA4235__" hidden="1">#REF!</definedName>
    <definedName name="__APW_RESTORE_DATA4236__" hidden="1">#REF!</definedName>
    <definedName name="__APW_RESTORE_DATA4237__" hidden="1">#REF!</definedName>
    <definedName name="__APW_RESTORE_DATA4238__" hidden="1">#REF!</definedName>
    <definedName name="__APW_RESTORE_DATA4239__" hidden="1">#REF!</definedName>
    <definedName name="__APW_RESTORE_DATA424__" hidden="1">#REF!</definedName>
    <definedName name="__APW_RESTORE_DATA4240__" hidden="1">#REF!</definedName>
    <definedName name="__APW_RESTORE_DATA4241__" hidden="1">#REF!</definedName>
    <definedName name="__APW_RESTORE_DATA4242__" hidden="1">#REF!</definedName>
    <definedName name="__APW_RESTORE_DATA4243__" hidden="1">#REF!</definedName>
    <definedName name="__APW_RESTORE_DATA4244__" hidden="1">#REF!</definedName>
    <definedName name="__APW_RESTORE_DATA4245__" hidden="1">#REF!</definedName>
    <definedName name="__APW_RESTORE_DATA4246__" hidden="1">#REF!</definedName>
    <definedName name="__APW_RESTORE_DATA4247__" hidden="1">#REF!</definedName>
    <definedName name="__APW_RESTORE_DATA4248__" hidden="1">#REF!</definedName>
    <definedName name="__APW_RESTORE_DATA4249__" hidden="1">#REF!</definedName>
    <definedName name="__APW_RESTORE_DATA425__" hidden="1">#REF!</definedName>
    <definedName name="__APW_RESTORE_DATA4250__" hidden="1">#REF!</definedName>
    <definedName name="__APW_RESTORE_DATA4251__" hidden="1">#REF!</definedName>
    <definedName name="__APW_RESTORE_DATA4252__" hidden="1">#REF!</definedName>
    <definedName name="__APW_RESTORE_DATA4253__" hidden="1">#REF!</definedName>
    <definedName name="__APW_RESTORE_DATA4254__" hidden="1">#REF!</definedName>
    <definedName name="__APW_RESTORE_DATA4255__" hidden="1">#REF!</definedName>
    <definedName name="__APW_RESTORE_DATA4256__" hidden="1">#REF!</definedName>
    <definedName name="__APW_RESTORE_DATA4257__" hidden="1">#REF!</definedName>
    <definedName name="__APW_RESTORE_DATA4258__" hidden="1">#REF!</definedName>
    <definedName name="__APW_RESTORE_DATA4259__" hidden="1">#REF!</definedName>
    <definedName name="__APW_RESTORE_DATA426__" hidden="1">#REF!</definedName>
    <definedName name="__APW_RESTORE_DATA4260__" hidden="1">#REF!</definedName>
    <definedName name="__APW_RESTORE_DATA4261__" hidden="1">#REF!</definedName>
    <definedName name="__APW_RESTORE_DATA4262__" hidden="1">#REF!</definedName>
    <definedName name="__APW_RESTORE_DATA4263__" hidden="1">#REF!</definedName>
    <definedName name="__APW_RESTORE_DATA4264__" hidden="1">#REF!</definedName>
    <definedName name="__APW_RESTORE_DATA4265__" hidden="1">#REF!</definedName>
    <definedName name="__APW_RESTORE_DATA4266__" hidden="1">#REF!</definedName>
    <definedName name="__APW_RESTORE_DATA4267__" hidden="1">#REF!</definedName>
    <definedName name="__APW_RESTORE_DATA4268__" hidden="1">#REF!</definedName>
    <definedName name="__APW_RESTORE_DATA4269__" hidden="1">#REF!</definedName>
    <definedName name="__APW_RESTORE_DATA427__" hidden="1">#REF!</definedName>
    <definedName name="__APW_RESTORE_DATA4270__" hidden="1">#REF!</definedName>
    <definedName name="__APW_RESTORE_DATA4271__" hidden="1">#REF!</definedName>
    <definedName name="__APW_RESTORE_DATA4272__" hidden="1">#REF!</definedName>
    <definedName name="__APW_RESTORE_DATA4273__" hidden="1">#REF!</definedName>
    <definedName name="__APW_RESTORE_DATA4274__" hidden="1">#REF!</definedName>
    <definedName name="__APW_RESTORE_DATA4275__" hidden="1">#REF!</definedName>
    <definedName name="__APW_RESTORE_DATA4276__" hidden="1">#REF!</definedName>
    <definedName name="__APW_RESTORE_DATA4277__" hidden="1">#REF!</definedName>
    <definedName name="__APW_RESTORE_DATA4278__" hidden="1">#REF!</definedName>
    <definedName name="__APW_RESTORE_DATA4279__" hidden="1">#REF!</definedName>
    <definedName name="__APW_RESTORE_DATA428__" hidden="1">#REF!</definedName>
    <definedName name="__APW_RESTORE_DATA4280__" hidden="1">#REF!</definedName>
    <definedName name="__APW_RESTORE_DATA4281__" hidden="1">#REF!</definedName>
    <definedName name="__APW_RESTORE_DATA4282__" hidden="1">#REF!</definedName>
    <definedName name="__APW_RESTORE_DATA4283__" hidden="1">#REF!</definedName>
    <definedName name="__APW_RESTORE_DATA4284__" hidden="1">#REF!</definedName>
    <definedName name="__APW_RESTORE_DATA4285__" hidden="1">#REF!</definedName>
    <definedName name="__APW_RESTORE_DATA4286__" hidden="1">#REF!</definedName>
    <definedName name="__APW_RESTORE_DATA4287__" hidden="1">#REF!</definedName>
    <definedName name="__APW_RESTORE_DATA4288__" hidden="1">#REF!</definedName>
    <definedName name="__APW_RESTORE_DATA4289__" hidden="1">#REF!</definedName>
    <definedName name="__APW_RESTORE_DATA429__" hidden="1">#REF!</definedName>
    <definedName name="__APW_RESTORE_DATA4290__" hidden="1">#REF!</definedName>
    <definedName name="__APW_RESTORE_DATA4291__" hidden="1">#REF!</definedName>
    <definedName name="__APW_RESTORE_DATA4292__" hidden="1">#REF!</definedName>
    <definedName name="__APW_RESTORE_DATA4293__" hidden="1">#REF!</definedName>
    <definedName name="__APW_RESTORE_DATA4294__" hidden="1">#REF!</definedName>
    <definedName name="__APW_RESTORE_DATA4295__" hidden="1">#REF!</definedName>
    <definedName name="__APW_RESTORE_DATA4296__" hidden="1">#REF!</definedName>
    <definedName name="__APW_RESTORE_DATA4297__" hidden="1">#REF!</definedName>
    <definedName name="__APW_RESTORE_DATA4298__" hidden="1">#REF!</definedName>
    <definedName name="__APW_RESTORE_DATA4299__" hidden="1">#REF!</definedName>
    <definedName name="__APW_RESTORE_DATA43__" hidden="1">#REF!</definedName>
    <definedName name="__APW_RESTORE_DATA430__" hidden="1">#REF!</definedName>
    <definedName name="__APW_RESTORE_DATA4300__" hidden="1">#REF!</definedName>
    <definedName name="__APW_RESTORE_DATA4301__" hidden="1">#REF!</definedName>
    <definedName name="__APW_RESTORE_DATA4302__" hidden="1">#REF!</definedName>
    <definedName name="__APW_RESTORE_DATA4303__" hidden="1">#REF!</definedName>
    <definedName name="__APW_RESTORE_DATA4304__" hidden="1">#REF!</definedName>
    <definedName name="__APW_RESTORE_DATA4305__" hidden="1">#REF!</definedName>
    <definedName name="__APW_RESTORE_DATA4306__" hidden="1">#REF!</definedName>
    <definedName name="__APW_RESTORE_DATA4307__" hidden="1">#REF!</definedName>
    <definedName name="__APW_RESTORE_DATA4308__" hidden="1">#REF!</definedName>
    <definedName name="__APW_RESTORE_DATA4309__" hidden="1">#REF!</definedName>
    <definedName name="__APW_RESTORE_DATA431__" hidden="1">#REF!</definedName>
    <definedName name="__APW_RESTORE_DATA4310__" hidden="1">#REF!</definedName>
    <definedName name="__APW_RESTORE_DATA4311__" hidden="1">#REF!</definedName>
    <definedName name="__APW_RESTORE_DATA4312__" hidden="1">#REF!</definedName>
    <definedName name="__APW_RESTORE_DATA4313__" hidden="1">#REF!</definedName>
    <definedName name="__APW_RESTORE_DATA4314__" hidden="1">#REF!</definedName>
    <definedName name="__APW_RESTORE_DATA4315__" hidden="1">#REF!</definedName>
    <definedName name="__APW_RESTORE_DATA4316__" hidden="1">#REF!</definedName>
    <definedName name="__APW_RESTORE_DATA4317__" hidden="1">#REF!</definedName>
    <definedName name="__APW_RESTORE_DATA4318__" hidden="1">#REF!</definedName>
    <definedName name="__APW_RESTORE_DATA4319__" hidden="1">#REF!</definedName>
    <definedName name="__APW_RESTORE_DATA432__" hidden="1">#REF!</definedName>
    <definedName name="__APW_RESTORE_DATA4320__" hidden="1">#REF!</definedName>
    <definedName name="__APW_RESTORE_DATA4321__" hidden="1">#REF!</definedName>
    <definedName name="__APW_RESTORE_DATA4322__" hidden="1">#REF!</definedName>
    <definedName name="__APW_RESTORE_DATA4323__" hidden="1">#REF!</definedName>
    <definedName name="__APW_RESTORE_DATA4324__" hidden="1">#REF!</definedName>
    <definedName name="__APW_RESTORE_DATA4325__" hidden="1">#REF!</definedName>
    <definedName name="__APW_RESTORE_DATA4326__" hidden="1">#REF!</definedName>
    <definedName name="__APW_RESTORE_DATA4327__" hidden="1">#REF!</definedName>
    <definedName name="__APW_RESTORE_DATA4328__" hidden="1">#REF!</definedName>
    <definedName name="__APW_RESTORE_DATA4329__" hidden="1">#REF!</definedName>
    <definedName name="__APW_RESTORE_DATA433__" hidden="1">#REF!</definedName>
    <definedName name="__APW_RESTORE_DATA4330__" hidden="1">#REF!</definedName>
    <definedName name="__APW_RESTORE_DATA4331__" hidden="1">#REF!</definedName>
    <definedName name="__APW_RESTORE_DATA4332__" hidden="1">#REF!</definedName>
    <definedName name="__APW_RESTORE_DATA4333__" hidden="1">#REF!</definedName>
    <definedName name="__APW_RESTORE_DATA4334__" hidden="1">#REF!</definedName>
    <definedName name="__APW_RESTORE_DATA4335__" hidden="1">#REF!</definedName>
    <definedName name="__APW_RESTORE_DATA4336__" hidden="1">#REF!</definedName>
    <definedName name="__APW_RESTORE_DATA4337__" hidden="1">#REF!</definedName>
    <definedName name="__APW_RESTORE_DATA4338__" hidden="1">#REF!</definedName>
    <definedName name="__APW_RESTORE_DATA4339__" hidden="1">#REF!</definedName>
    <definedName name="__APW_RESTORE_DATA434__" hidden="1">#REF!</definedName>
    <definedName name="__APW_RESTORE_DATA4340__" hidden="1">#REF!</definedName>
    <definedName name="__APW_RESTORE_DATA4341__" hidden="1">#REF!</definedName>
    <definedName name="__APW_RESTORE_DATA4342__" hidden="1">#REF!</definedName>
    <definedName name="__APW_RESTORE_DATA4343__" hidden="1">#REF!</definedName>
    <definedName name="__APW_RESTORE_DATA4344__" hidden="1">#REF!</definedName>
    <definedName name="__APW_RESTORE_DATA4345__" hidden="1">#REF!</definedName>
    <definedName name="__APW_RESTORE_DATA4346__" hidden="1">#REF!</definedName>
    <definedName name="__APW_RESTORE_DATA4347__" hidden="1">#REF!</definedName>
    <definedName name="__APW_RESTORE_DATA4348__" hidden="1">#REF!</definedName>
    <definedName name="__APW_RESTORE_DATA4349__" hidden="1">#REF!</definedName>
    <definedName name="__APW_RESTORE_DATA435__" hidden="1">#REF!</definedName>
    <definedName name="__APW_RESTORE_DATA4350__" hidden="1">#REF!</definedName>
    <definedName name="__APW_RESTORE_DATA4351__" hidden="1">#REF!</definedName>
    <definedName name="__APW_RESTORE_DATA4352__" hidden="1">#REF!</definedName>
    <definedName name="__APW_RESTORE_DATA4353__" hidden="1">#REF!</definedName>
    <definedName name="__APW_RESTORE_DATA4354__" hidden="1">#REF!</definedName>
    <definedName name="__APW_RESTORE_DATA4355__" hidden="1">#REF!</definedName>
    <definedName name="__APW_RESTORE_DATA4356__" hidden="1">#REF!</definedName>
    <definedName name="__APW_RESTORE_DATA4357__" hidden="1">#REF!</definedName>
    <definedName name="__APW_RESTORE_DATA4358__" hidden="1">#REF!</definedName>
    <definedName name="__APW_RESTORE_DATA4359__" hidden="1">#REF!</definedName>
    <definedName name="__APW_RESTORE_DATA436__" hidden="1">#REF!</definedName>
    <definedName name="__APW_RESTORE_DATA4360__" hidden="1">#REF!</definedName>
    <definedName name="__APW_RESTORE_DATA4361__" hidden="1">#REF!</definedName>
    <definedName name="__APW_RESTORE_DATA4362__" hidden="1">#REF!</definedName>
    <definedName name="__APW_RESTORE_DATA4363__" hidden="1">#REF!</definedName>
    <definedName name="__APW_RESTORE_DATA4364__" hidden="1">#REF!</definedName>
    <definedName name="__APW_RESTORE_DATA4365__" hidden="1">#REF!</definedName>
    <definedName name="__APW_RESTORE_DATA4366__" hidden="1">#REF!</definedName>
    <definedName name="__APW_RESTORE_DATA4367__" hidden="1">#REF!</definedName>
    <definedName name="__APW_RESTORE_DATA4368__" hidden="1">#REF!</definedName>
    <definedName name="__APW_RESTORE_DATA4369__" hidden="1">#REF!</definedName>
    <definedName name="__APW_RESTORE_DATA437__" hidden="1">#REF!</definedName>
    <definedName name="__APW_RESTORE_DATA4370__" hidden="1">#REF!</definedName>
    <definedName name="__APW_RESTORE_DATA4371__" hidden="1">#REF!</definedName>
    <definedName name="__APW_RESTORE_DATA4372__" hidden="1">#REF!</definedName>
    <definedName name="__APW_RESTORE_DATA4373__" hidden="1">#REF!</definedName>
    <definedName name="__APW_RESTORE_DATA4374__" hidden="1">#REF!</definedName>
    <definedName name="__APW_RESTORE_DATA4375__" hidden="1">#REF!</definedName>
    <definedName name="__APW_RESTORE_DATA4376__" hidden="1">#REF!</definedName>
    <definedName name="__APW_RESTORE_DATA4377__" hidden="1">#REF!</definedName>
    <definedName name="__APW_RESTORE_DATA4378__" hidden="1">#REF!</definedName>
    <definedName name="__APW_RESTORE_DATA4379__" hidden="1">#REF!</definedName>
    <definedName name="__APW_RESTORE_DATA438__" hidden="1">#REF!</definedName>
    <definedName name="__APW_RESTORE_DATA4380__" hidden="1">#REF!</definedName>
    <definedName name="__APW_RESTORE_DATA4381__" hidden="1">#REF!</definedName>
    <definedName name="__APW_RESTORE_DATA4382__" hidden="1">#REF!</definedName>
    <definedName name="__APW_RESTORE_DATA4383__" hidden="1">#REF!</definedName>
    <definedName name="__APW_RESTORE_DATA4384__" hidden="1">#REF!</definedName>
    <definedName name="__APW_RESTORE_DATA4385__" hidden="1">#REF!</definedName>
    <definedName name="__APW_RESTORE_DATA4386__" hidden="1">#REF!</definedName>
    <definedName name="__APW_RESTORE_DATA4387__" hidden="1">#REF!</definedName>
    <definedName name="__APW_RESTORE_DATA4388__" hidden="1">#REF!</definedName>
    <definedName name="__APW_RESTORE_DATA4389__" hidden="1">#REF!</definedName>
    <definedName name="__APW_RESTORE_DATA439__" hidden="1">#REF!</definedName>
    <definedName name="__APW_RESTORE_DATA4390__" hidden="1">#REF!</definedName>
    <definedName name="__APW_RESTORE_DATA4391__" hidden="1">#REF!</definedName>
    <definedName name="__APW_RESTORE_DATA4392__" hidden="1">#REF!</definedName>
    <definedName name="__APW_RESTORE_DATA4393__" hidden="1">#REF!</definedName>
    <definedName name="__APW_RESTORE_DATA4394__" hidden="1">#REF!</definedName>
    <definedName name="__APW_RESTORE_DATA4395__" hidden="1">#REF!</definedName>
    <definedName name="__APW_RESTORE_DATA4396__" hidden="1">#REF!</definedName>
    <definedName name="__APW_RESTORE_DATA4397__" hidden="1">#REF!</definedName>
    <definedName name="__APW_RESTORE_DATA4398__" hidden="1">#REF!</definedName>
    <definedName name="__APW_RESTORE_DATA4399__" hidden="1">#REF!</definedName>
    <definedName name="__APW_RESTORE_DATA44__" hidden="1">#REF!</definedName>
    <definedName name="__APW_RESTORE_DATA440__" hidden="1">#REF!</definedName>
    <definedName name="__APW_RESTORE_DATA4400__" hidden="1">#REF!</definedName>
    <definedName name="__APW_RESTORE_DATA4401__" hidden="1">#REF!</definedName>
    <definedName name="__APW_RESTORE_DATA4402__" hidden="1">#REF!</definedName>
    <definedName name="__APW_RESTORE_DATA4403__" hidden="1">#REF!</definedName>
    <definedName name="__APW_RESTORE_DATA4404__" hidden="1">#REF!</definedName>
    <definedName name="__APW_RESTORE_DATA4405__" hidden="1">#REF!</definedName>
    <definedName name="__APW_RESTORE_DATA4406__" hidden="1">#REF!</definedName>
    <definedName name="__APW_RESTORE_DATA4407__" hidden="1">#REF!</definedName>
    <definedName name="__APW_RESTORE_DATA4408__" hidden="1">#REF!</definedName>
    <definedName name="__APW_RESTORE_DATA4409__" hidden="1">#REF!</definedName>
    <definedName name="__APW_RESTORE_DATA441__" hidden="1">#REF!</definedName>
    <definedName name="__APW_RESTORE_DATA4410__" hidden="1">#REF!</definedName>
    <definedName name="__APW_RESTORE_DATA4411__" hidden="1">#REF!</definedName>
    <definedName name="__APW_RESTORE_DATA4412__" hidden="1">#REF!</definedName>
    <definedName name="__APW_RESTORE_DATA4413__" hidden="1">#REF!</definedName>
    <definedName name="__APW_RESTORE_DATA4414__" hidden="1">#REF!</definedName>
    <definedName name="__APW_RESTORE_DATA4415__" hidden="1">#REF!</definedName>
    <definedName name="__APW_RESTORE_DATA4416__" hidden="1">#REF!</definedName>
    <definedName name="__APW_RESTORE_DATA4417__" hidden="1">#REF!</definedName>
    <definedName name="__APW_RESTORE_DATA4418__" hidden="1">#REF!</definedName>
    <definedName name="__APW_RESTORE_DATA4419__" hidden="1">#REF!</definedName>
    <definedName name="__APW_RESTORE_DATA442__" hidden="1">#REF!</definedName>
    <definedName name="__APW_RESTORE_DATA4420__" hidden="1">#REF!</definedName>
    <definedName name="__APW_RESTORE_DATA4421__" hidden="1">#REF!</definedName>
    <definedName name="__APW_RESTORE_DATA4422__" hidden="1">#REF!</definedName>
    <definedName name="__APW_RESTORE_DATA4423__" hidden="1">#REF!</definedName>
    <definedName name="__APW_RESTORE_DATA4424__" hidden="1">#REF!</definedName>
    <definedName name="__APW_RESTORE_DATA4425__" hidden="1">#REF!</definedName>
    <definedName name="__APW_RESTORE_DATA4426__" hidden="1">#REF!</definedName>
    <definedName name="__APW_RESTORE_DATA4427__" hidden="1">#REF!</definedName>
    <definedName name="__APW_RESTORE_DATA4428__" hidden="1">#REF!</definedName>
    <definedName name="__APW_RESTORE_DATA4429__" hidden="1">#REF!</definedName>
    <definedName name="__APW_RESTORE_DATA443__" hidden="1">#REF!</definedName>
    <definedName name="__APW_RESTORE_DATA4430__" hidden="1">#REF!</definedName>
    <definedName name="__APW_RESTORE_DATA4431__" hidden="1">#REF!</definedName>
    <definedName name="__APW_RESTORE_DATA4432__" hidden="1">#REF!</definedName>
    <definedName name="__APW_RESTORE_DATA4433__" hidden="1">#REF!</definedName>
    <definedName name="__APW_RESTORE_DATA4434__" hidden="1">#REF!</definedName>
    <definedName name="__APW_RESTORE_DATA4435__" hidden="1">#REF!</definedName>
    <definedName name="__APW_RESTORE_DATA4436__" hidden="1">#REF!</definedName>
    <definedName name="__APW_RESTORE_DATA4437__" hidden="1">#REF!</definedName>
    <definedName name="__APW_RESTORE_DATA4438__" hidden="1">#REF!</definedName>
    <definedName name="__APW_RESTORE_DATA4439__" hidden="1">#REF!</definedName>
    <definedName name="__APW_RESTORE_DATA444__" hidden="1">#REF!</definedName>
    <definedName name="__APW_RESTORE_DATA4440__" hidden="1">#REF!</definedName>
    <definedName name="__APW_RESTORE_DATA4441__" hidden="1">#REF!</definedName>
    <definedName name="__APW_RESTORE_DATA4442__" hidden="1">#REF!</definedName>
    <definedName name="__APW_RESTORE_DATA4443__" hidden="1">#REF!</definedName>
    <definedName name="__APW_RESTORE_DATA4444__" hidden="1">#REF!</definedName>
    <definedName name="__APW_RESTORE_DATA4445__" hidden="1">#REF!</definedName>
    <definedName name="__APW_RESTORE_DATA4446__" hidden="1">#REF!</definedName>
    <definedName name="__APW_RESTORE_DATA4447__" hidden="1">#REF!</definedName>
    <definedName name="__APW_RESTORE_DATA4448__" hidden="1">#REF!</definedName>
    <definedName name="__APW_RESTORE_DATA4449__" hidden="1">#REF!</definedName>
    <definedName name="__APW_RESTORE_DATA445__" hidden="1">#REF!</definedName>
    <definedName name="__APW_RESTORE_DATA4450__" hidden="1">#REF!</definedName>
    <definedName name="__APW_RESTORE_DATA4451__" hidden="1">#REF!</definedName>
    <definedName name="__APW_RESTORE_DATA4452__" hidden="1">#REF!</definedName>
    <definedName name="__APW_RESTORE_DATA4453__" hidden="1">#REF!</definedName>
    <definedName name="__APW_RESTORE_DATA4454__" hidden="1">#REF!</definedName>
    <definedName name="__APW_RESTORE_DATA4455__" hidden="1">#REF!</definedName>
    <definedName name="__APW_RESTORE_DATA4456__" hidden="1">#REF!</definedName>
    <definedName name="__APW_RESTORE_DATA4457__" hidden="1">#REF!</definedName>
    <definedName name="__APW_RESTORE_DATA4458__" hidden="1">#REF!</definedName>
    <definedName name="__APW_RESTORE_DATA4459__" hidden="1">#REF!</definedName>
    <definedName name="__APW_RESTORE_DATA446__" hidden="1">#REF!</definedName>
    <definedName name="__APW_RESTORE_DATA4460__" hidden="1">#REF!</definedName>
    <definedName name="__APW_RESTORE_DATA4461__" hidden="1">#REF!</definedName>
    <definedName name="__APW_RESTORE_DATA4462__" hidden="1">#REF!</definedName>
    <definedName name="__APW_RESTORE_DATA4463__" hidden="1">#REF!</definedName>
    <definedName name="__APW_RESTORE_DATA4464__" hidden="1">#REF!</definedName>
    <definedName name="__APW_RESTORE_DATA4465__" hidden="1">#REF!</definedName>
    <definedName name="__APW_RESTORE_DATA4466__" hidden="1">#REF!</definedName>
    <definedName name="__APW_RESTORE_DATA4467__" hidden="1">#REF!</definedName>
    <definedName name="__APW_RESTORE_DATA4468__" hidden="1">#REF!</definedName>
    <definedName name="__APW_RESTORE_DATA4469__" hidden="1">#REF!</definedName>
    <definedName name="__APW_RESTORE_DATA447__" hidden="1">#REF!</definedName>
    <definedName name="__APW_RESTORE_DATA4470__" hidden="1">#REF!</definedName>
    <definedName name="__APW_RESTORE_DATA4471__" hidden="1">#REF!</definedName>
    <definedName name="__APW_RESTORE_DATA4472__" hidden="1">#REF!</definedName>
    <definedName name="__APW_RESTORE_DATA4473__" hidden="1">#REF!</definedName>
    <definedName name="__APW_RESTORE_DATA4474__" hidden="1">#REF!</definedName>
    <definedName name="__APW_RESTORE_DATA4475__" hidden="1">#REF!</definedName>
    <definedName name="__APW_RESTORE_DATA4476__" hidden="1">#REF!</definedName>
    <definedName name="__APW_RESTORE_DATA4477__" hidden="1">#REF!</definedName>
    <definedName name="__APW_RESTORE_DATA4478__" hidden="1">#REF!</definedName>
    <definedName name="__APW_RESTORE_DATA4479__" hidden="1">#REF!</definedName>
    <definedName name="__APW_RESTORE_DATA448__" hidden="1">#REF!</definedName>
    <definedName name="__APW_RESTORE_DATA4480__" hidden="1">#REF!</definedName>
    <definedName name="__APW_RESTORE_DATA4481__" hidden="1">#REF!</definedName>
    <definedName name="__APW_RESTORE_DATA4482__" hidden="1">#REF!</definedName>
    <definedName name="__APW_RESTORE_DATA4483__" hidden="1">#REF!</definedName>
    <definedName name="__APW_RESTORE_DATA4484__" hidden="1">#REF!</definedName>
    <definedName name="__APW_RESTORE_DATA4485__" hidden="1">#REF!</definedName>
    <definedName name="__APW_RESTORE_DATA4486__" hidden="1">#REF!</definedName>
    <definedName name="__APW_RESTORE_DATA4487__" hidden="1">#REF!</definedName>
    <definedName name="__APW_RESTORE_DATA4488__" hidden="1">#REF!</definedName>
    <definedName name="__APW_RESTORE_DATA4489__" hidden="1">#REF!</definedName>
    <definedName name="__APW_RESTORE_DATA449__" hidden="1">#REF!</definedName>
    <definedName name="__APW_RESTORE_DATA4490__" hidden="1">#REF!</definedName>
    <definedName name="__APW_RESTORE_DATA4491__" hidden="1">#REF!</definedName>
    <definedName name="__APW_RESTORE_DATA4492__" hidden="1">#REF!</definedName>
    <definedName name="__APW_RESTORE_DATA4493__" hidden="1">#REF!</definedName>
    <definedName name="__APW_RESTORE_DATA4494__" hidden="1">#REF!</definedName>
    <definedName name="__APW_RESTORE_DATA4495__" hidden="1">#REF!</definedName>
    <definedName name="__APW_RESTORE_DATA4496__" hidden="1">#REF!</definedName>
    <definedName name="__APW_RESTORE_DATA4497__" hidden="1">#REF!</definedName>
    <definedName name="__APW_RESTORE_DATA4498__" hidden="1">#REF!</definedName>
    <definedName name="__APW_RESTORE_DATA4499__" hidden="1">#REF!</definedName>
    <definedName name="__APW_RESTORE_DATA45__" hidden="1">#REF!</definedName>
    <definedName name="__APW_RESTORE_DATA450__" hidden="1">#REF!</definedName>
    <definedName name="__APW_RESTORE_DATA4500__" hidden="1">#REF!</definedName>
    <definedName name="__APW_RESTORE_DATA4501__" hidden="1">#REF!</definedName>
    <definedName name="__APW_RESTORE_DATA4502__" hidden="1">#REF!</definedName>
    <definedName name="__APW_RESTORE_DATA4503__" hidden="1">#REF!</definedName>
    <definedName name="__APW_RESTORE_DATA4504__" hidden="1">#REF!</definedName>
    <definedName name="__APW_RESTORE_DATA4505__" hidden="1">#REF!</definedName>
    <definedName name="__APW_RESTORE_DATA4506__" hidden="1">#REF!</definedName>
    <definedName name="__APW_RESTORE_DATA4507__" hidden="1">#REF!</definedName>
    <definedName name="__APW_RESTORE_DATA4508__" hidden="1">#REF!</definedName>
    <definedName name="__APW_RESTORE_DATA4509__" hidden="1">#REF!</definedName>
    <definedName name="__APW_RESTORE_DATA451__" hidden="1">#REF!</definedName>
    <definedName name="__APW_RESTORE_DATA4510__" hidden="1">#REF!</definedName>
    <definedName name="__APW_RESTORE_DATA4511__" hidden="1">#REF!</definedName>
    <definedName name="__APW_RESTORE_DATA4512__" hidden="1">#REF!</definedName>
    <definedName name="__APW_RESTORE_DATA4513__" hidden="1">#REF!</definedName>
    <definedName name="__APW_RESTORE_DATA4514__" hidden="1">#REF!</definedName>
    <definedName name="__APW_RESTORE_DATA4515__" hidden="1">#REF!</definedName>
    <definedName name="__APW_RESTORE_DATA4516__" hidden="1">#REF!</definedName>
    <definedName name="__APW_RESTORE_DATA4517__" hidden="1">#REF!</definedName>
    <definedName name="__APW_RESTORE_DATA4518__" hidden="1">#REF!</definedName>
    <definedName name="__APW_RESTORE_DATA4519__" hidden="1">#REF!</definedName>
    <definedName name="__APW_RESTORE_DATA452__" hidden="1">#REF!</definedName>
    <definedName name="__APW_RESTORE_DATA4520__" hidden="1">#REF!</definedName>
    <definedName name="__APW_RESTORE_DATA4521__" hidden="1">#REF!</definedName>
    <definedName name="__APW_RESTORE_DATA4522__" hidden="1">#REF!</definedName>
    <definedName name="__APW_RESTORE_DATA4523__" hidden="1">#REF!</definedName>
    <definedName name="__APW_RESTORE_DATA4524__" hidden="1">#REF!</definedName>
    <definedName name="__APW_RESTORE_DATA4525__" hidden="1">#REF!</definedName>
    <definedName name="__APW_RESTORE_DATA4526__" hidden="1">#REF!</definedName>
    <definedName name="__APW_RESTORE_DATA4527__" hidden="1">#REF!</definedName>
    <definedName name="__APW_RESTORE_DATA4528__" hidden="1">#REF!</definedName>
    <definedName name="__APW_RESTORE_DATA4529__" hidden="1">#REF!</definedName>
    <definedName name="__APW_RESTORE_DATA453__" hidden="1">#REF!</definedName>
    <definedName name="__APW_RESTORE_DATA4530__" hidden="1">#REF!</definedName>
    <definedName name="__APW_RESTORE_DATA4531__" hidden="1">#REF!</definedName>
    <definedName name="__APW_RESTORE_DATA4532__" hidden="1">#REF!</definedName>
    <definedName name="__APW_RESTORE_DATA4533__" hidden="1">#REF!</definedName>
    <definedName name="__APW_RESTORE_DATA4534__" hidden="1">#REF!</definedName>
    <definedName name="__APW_RESTORE_DATA4535__" hidden="1">#REF!</definedName>
    <definedName name="__APW_RESTORE_DATA4536__" hidden="1">#REF!</definedName>
    <definedName name="__APW_RESTORE_DATA4537__" hidden="1">#REF!</definedName>
    <definedName name="__APW_RESTORE_DATA4538__" hidden="1">#REF!</definedName>
    <definedName name="__APW_RESTORE_DATA4539__" hidden="1">#REF!</definedName>
    <definedName name="__APW_RESTORE_DATA454__" hidden="1">#REF!</definedName>
    <definedName name="__APW_RESTORE_DATA4540__" hidden="1">#REF!</definedName>
    <definedName name="__APW_RESTORE_DATA4541__" hidden="1">#REF!</definedName>
    <definedName name="__APW_RESTORE_DATA4542__" hidden="1">#REF!</definedName>
    <definedName name="__APW_RESTORE_DATA4543__" hidden="1">#REF!</definedName>
    <definedName name="__APW_RESTORE_DATA4544__" hidden="1">#REF!</definedName>
    <definedName name="__APW_RESTORE_DATA4545__" hidden="1">#REF!</definedName>
    <definedName name="__APW_RESTORE_DATA4546__" hidden="1">#REF!</definedName>
    <definedName name="__APW_RESTORE_DATA4547__" hidden="1">#REF!</definedName>
    <definedName name="__APW_RESTORE_DATA4548__" hidden="1">#REF!</definedName>
    <definedName name="__APW_RESTORE_DATA4549__" hidden="1">#REF!</definedName>
    <definedName name="__APW_RESTORE_DATA455__" hidden="1">#REF!</definedName>
    <definedName name="__APW_RESTORE_DATA4550__" hidden="1">#REF!</definedName>
    <definedName name="__APW_RESTORE_DATA4551__" hidden="1">#REF!</definedName>
    <definedName name="__APW_RESTORE_DATA4552__" hidden="1">#REF!</definedName>
    <definedName name="__APW_RESTORE_DATA4553__" hidden="1">#REF!</definedName>
    <definedName name="__APW_RESTORE_DATA4554__" hidden="1">#REF!</definedName>
    <definedName name="__APW_RESTORE_DATA4555__" hidden="1">#REF!</definedName>
    <definedName name="__APW_RESTORE_DATA4556__" hidden="1">#REF!</definedName>
    <definedName name="__APW_RESTORE_DATA4557__" hidden="1">#REF!</definedName>
    <definedName name="__APW_RESTORE_DATA4558__" hidden="1">#REF!</definedName>
    <definedName name="__APW_RESTORE_DATA4559__" hidden="1">#REF!</definedName>
    <definedName name="__APW_RESTORE_DATA456__" hidden="1">#REF!</definedName>
    <definedName name="__APW_RESTORE_DATA4560__" hidden="1">#REF!</definedName>
    <definedName name="__APW_RESTORE_DATA4561__" hidden="1">#REF!</definedName>
    <definedName name="__APW_RESTORE_DATA4562__" hidden="1">#REF!</definedName>
    <definedName name="__APW_RESTORE_DATA4563__" hidden="1">#REF!</definedName>
    <definedName name="__APW_RESTORE_DATA4564__" hidden="1">#REF!</definedName>
    <definedName name="__APW_RESTORE_DATA4565__" hidden="1">#REF!</definedName>
    <definedName name="__APW_RESTORE_DATA4566__" hidden="1">#REF!</definedName>
    <definedName name="__APW_RESTORE_DATA4567__" hidden="1">#REF!</definedName>
    <definedName name="__APW_RESTORE_DATA4568__" hidden="1">#REF!</definedName>
    <definedName name="__APW_RESTORE_DATA4569__" hidden="1">#REF!</definedName>
    <definedName name="__APW_RESTORE_DATA457__" hidden="1">#REF!</definedName>
    <definedName name="__APW_RESTORE_DATA4570__" hidden="1">#REF!</definedName>
    <definedName name="__APW_RESTORE_DATA4571__" hidden="1">#REF!</definedName>
    <definedName name="__APW_RESTORE_DATA4572__" hidden="1">#REF!</definedName>
    <definedName name="__APW_RESTORE_DATA4573__" hidden="1">#REF!</definedName>
    <definedName name="__APW_RESTORE_DATA4574__" hidden="1">#REF!</definedName>
    <definedName name="__APW_RESTORE_DATA4575__" hidden="1">#REF!</definedName>
    <definedName name="__APW_RESTORE_DATA4576__" hidden="1">#REF!</definedName>
    <definedName name="__APW_RESTORE_DATA4577__" hidden="1">#REF!</definedName>
    <definedName name="__APW_RESTORE_DATA4578__" hidden="1">#REF!</definedName>
    <definedName name="__APW_RESTORE_DATA4579__" hidden="1">#REF!</definedName>
    <definedName name="__APW_RESTORE_DATA458__" hidden="1">#REF!</definedName>
    <definedName name="__APW_RESTORE_DATA4580__" hidden="1">#REF!</definedName>
    <definedName name="__APW_RESTORE_DATA4581__" hidden="1">#REF!</definedName>
    <definedName name="__APW_RESTORE_DATA4582__" hidden="1">#REF!</definedName>
    <definedName name="__APW_RESTORE_DATA4583__" hidden="1">#REF!</definedName>
    <definedName name="__APW_RESTORE_DATA4584__" hidden="1">#REF!</definedName>
    <definedName name="__APW_RESTORE_DATA4585__" hidden="1">#REF!</definedName>
    <definedName name="__APW_RESTORE_DATA4586__" hidden="1">#REF!</definedName>
    <definedName name="__APW_RESTORE_DATA4587__" hidden="1">#REF!</definedName>
    <definedName name="__APW_RESTORE_DATA4588__" hidden="1">#REF!</definedName>
    <definedName name="__APW_RESTORE_DATA4589__" hidden="1">#REF!</definedName>
    <definedName name="__APW_RESTORE_DATA459__" hidden="1">#REF!</definedName>
    <definedName name="__APW_RESTORE_DATA4590__" hidden="1">#REF!</definedName>
    <definedName name="__APW_RESTORE_DATA4591__" hidden="1">#REF!</definedName>
    <definedName name="__APW_RESTORE_DATA4592__" hidden="1">#REF!</definedName>
    <definedName name="__APW_RESTORE_DATA4593__" hidden="1">#REF!</definedName>
    <definedName name="__APW_RESTORE_DATA4594__" hidden="1">#REF!</definedName>
    <definedName name="__APW_RESTORE_DATA4595__" hidden="1">#REF!</definedName>
    <definedName name="__APW_RESTORE_DATA4596__" hidden="1">#REF!</definedName>
    <definedName name="__APW_RESTORE_DATA4597__" hidden="1">#REF!</definedName>
    <definedName name="__APW_RESTORE_DATA4598__" hidden="1">#REF!</definedName>
    <definedName name="__APW_RESTORE_DATA4599__" hidden="1">#REF!</definedName>
    <definedName name="__APW_RESTORE_DATA46__" hidden="1">#REF!</definedName>
    <definedName name="__APW_RESTORE_DATA460__" hidden="1">#REF!</definedName>
    <definedName name="__APW_RESTORE_DATA4600__" hidden="1">#REF!</definedName>
    <definedName name="__APW_RESTORE_DATA4601__" hidden="1">#REF!</definedName>
    <definedName name="__APW_RESTORE_DATA4602__" hidden="1">#REF!</definedName>
    <definedName name="__APW_RESTORE_DATA4603__" hidden="1">#REF!</definedName>
    <definedName name="__APW_RESTORE_DATA4604__" hidden="1">#REF!</definedName>
    <definedName name="__APW_RESTORE_DATA4605__" hidden="1">#REF!</definedName>
    <definedName name="__APW_RESTORE_DATA4606__" hidden="1">#REF!</definedName>
    <definedName name="__APW_RESTORE_DATA4607__" hidden="1">#REF!</definedName>
    <definedName name="__APW_RESTORE_DATA4608__" hidden="1">#REF!</definedName>
    <definedName name="__APW_RESTORE_DATA4609__" hidden="1">#REF!</definedName>
    <definedName name="__APW_RESTORE_DATA461__" hidden="1">#REF!</definedName>
    <definedName name="__APW_RESTORE_DATA4610__" hidden="1">#REF!</definedName>
    <definedName name="__APW_RESTORE_DATA4611__" hidden="1">#REF!</definedName>
    <definedName name="__APW_RESTORE_DATA4612__" hidden="1">#REF!</definedName>
    <definedName name="__APW_RESTORE_DATA4613__" hidden="1">#REF!</definedName>
    <definedName name="__APW_RESTORE_DATA4614__" hidden="1">#REF!</definedName>
    <definedName name="__APW_RESTORE_DATA4615__" hidden="1">#REF!</definedName>
    <definedName name="__APW_RESTORE_DATA4616__" hidden="1">#REF!</definedName>
    <definedName name="__APW_RESTORE_DATA4617__" hidden="1">#REF!</definedName>
    <definedName name="__APW_RESTORE_DATA4618__" hidden="1">#REF!</definedName>
    <definedName name="__APW_RESTORE_DATA4619__" hidden="1">#REF!</definedName>
    <definedName name="__APW_RESTORE_DATA462__" hidden="1">#REF!</definedName>
    <definedName name="__APW_RESTORE_DATA4620__" hidden="1">#REF!</definedName>
    <definedName name="__APW_RESTORE_DATA4621__" hidden="1">#REF!</definedName>
    <definedName name="__APW_RESTORE_DATA4622__" hidden="1">#REF!</definedName>
    <definedName name="__APW_RESTORE_DATA4623__" hidden="1">#REF!</definedName>
    <definedName name="__APW_RESTORE_DATA4624__" hidden="1">#REF!</definedName>
    <definedName name="__APW_RESTORE_DATA4625__" hidden="1">#REF!</definedName>
    <definedName name="__APW_RESTORE_DATA4626__" hidden="1">#REF!</definedName>
    <definedName name="__APW_RESTORE_DATA4627__" hidden="1">#REF!</definedName>
    <definedName name="__APW_RESTORE_DATA4628__" hidden="1">#REF!</definedName>
    <definedName name="__APW_RESTORE_DATA4629__" hidden="1">#REF!</definedName>
    <definedName name="__APW_RESTORE_DATA463__" hidden="1">#REF!</definedName>
    <definedName name="__APW_RESTORE_DATA4630__" hidden="1">#REF!</definedName>
    <definedName name="__APW_RESTORE_DATA4631__" hidden="1">#REF!</definedName>
    <definedName name="__APW_RESTORE_DATA4632__" hidden="1">#REF!</definedName>
    <definedName name="__APW_RESTORE_DATA4633__" hidden="1">#REF!</definedName>
    <definedName name="__APW_RESTORE_DATA4634__" hidden="1">#REF!</definedName>
    <definedName name="__APW_RESTORE_DATA4635__" hidden="1">#REF!</definedName>
    <definedName name="__APW_RESTORE_DATA4636__" hidden="1">#REF!</definedName>
    <definedName name="__APW_RESTORE_DATA4637__" hidden="1">#REF!</definedName>
    <definedName name="__APW_RESTORE_DATA4638__" hidden="1">#REF!</definedName>
    <definedName name="__APW_RESTORE_DATA4639__" hidden="1">#REF!</definedName>
    <definedName name="__APW_RESTORE_DATA464__" hidden="1">#REF!</definedName>
    <definedName name="__APW_RESTORE_DATA4640__" hidden="1">#REF!</definedName>
    <definedName name="__APW_RESTORE_DATA4641__" hidden="1">#REF!</definedName>
    <definedName name="__APW_RESTORE_DATA4642__" hidden="1">#REF!</definedName>
    <definedName name="__APW_RESTORE_DATA4643__" hidden="1">#REF!</definedName>
    <definedName name="__APW_RESTORE_DATA4644__" hidden="1">#REF!</definedName>
    <definedName name="__APW_RESTORE_DATA4645__" hidden="1">#REF!</definedName>
    <definedName name="__APW_RESTORE_DATA4646__" hidden="1">#REF!</definedName>
    <definedName name="__APW_RESTORE_DATA4647__" hidden="1">#REF!</definedName>
    <definedName name="__APW_RESTORE_DATA4648__" hidden="1">#REF!</definedName>
    <definedName name="__APW_RESTORE_DATA4649__" hidden="1">#REF!</definedName>
    <definedName name="__APW_RESTORE_DATA465__" hidden="1">#REF!</definedName>
    <definedName name="__APW_RESTORE_DATA4650__" hidden="1">#REF!</definedName>
    <definedName name="__APW_RESTORE_DATA4651__" hidden="1">#REF!</definedName>
    <definedName name="__APW_RESTORE_DATA4652__" hidden="1">#REF!</definedName>
    <definedName name="__APW_RESTORE_DATA4653__" hidden="1">#REF!</definedName>
    <definedName name="__APW_RESTORE_DATA4654__" hidden="1">#REF!</definedName>
    <definedName name="__APW_RESTORE_DATA4655__" hidden="1">#REF!</definedName>
    <definedName name="__APW_RESTORE_DATA4656__" hidden="1">#REF!</definedName>
    <definedName name="__APW_RESTORE_DATA4657__" hidden="1">#REF!</definedName>
    <definedName name="__APW_RESTORE_DATA4658__" hidden="1">#REF!</definedName>
    <definedName name="__APW_RESTORE_DATA4659__" hidden="1">#REF!</definedName>
    <definedName name="__APW_RESTORE_DATA466__" hidden="1">#REF!</definedName>
    <definedName name="__APW_RESTORE_DATA4660__" hidden="1">#REF!</definedName>
    <definedName name="__APW_RESTORE_DATA4661__" hidden="1">#REF!</definedName>
    <definedName name="__APW_RESTORE_DATA4662__" hidden="1">#REF!</definedName>
    <definedName name="__APW_RESTORE_DATA4663__" hidden="1">#REF!</definedName>
    <definedName name="__APW_RESTORE_DATA4664__" hidden="1">#REF!</definedName>
    <definedName name="__APW_RESTORE_DATA4665__" hidden="1">#REF!</definedName>
    <definedName name="__APW_RESTORE_DATA4666__" hidden="1">#REF!</definedName>
    <definedName name="__APW_RESTORE_DATA4667__" hidden="1">#REF!</definedName>
    <definedName name="__APW_RESTORE_DATA4668__" hidden="1">#REF!</definedName>
    <definedName name="__APW_RESTORE_DATA4669__" hidden="1">#REF!</definedName>
    <definedName name="__APW_RESTORE_DATA467__" hidden="1">#REF!</definedName>
    <definedName name="__APW_RESTORE_DATA4670__" hidden="1">#REF!</definedName>
    <definedName name="__APW_RESTORE_DATA4671__" hidden="1">#REF!</definedName>
    <definedName name="__APW_RESTORE_DATA4672__" hidden="1">#REF!</definedName>
    <definedName name="__APW_RESTORE_DATA4673__" hidden="1">#REF!</definedName>
    <definedName name="__APW_RESTORE_DATA4674__" hidden="1">#REF!</definedName>
    <definedName name="__APW_RESTORE_DATA4675__" hidden="1">#REF!</definedName>
    <definedName name="__APW_RESTORE_DATA4676__" hidden="1">#REF!</definedName>
    <definedName name="__APW_RESTORE_DATA4677__" hidden="1">#REF!</definedName>
    <definedName name="__APW_RESTORE_DATA4678__" hidden="1">#REF!</definedName>
    <definedName name="__APW_RESTORE_DATA4679__" hidden="1">#REF!</definedName>
    <definedName name="__APW_RESTORE_DATA468__" hidden="1">#REF!</definedName>
    <definedName name="__APW_RESTORE_DATA4680__" hidden="1">#REF!</definedName>
    <definedName name="__APW_RESTORE_DATA4681__" hidden="1">#REF!</definedName>
    <definedName name="__APW_RESTORE_DATA4682__" hidden="1">#REF!</definedName>
    <definedName name="__APW_RESTORE_DATA4683__" hidden="1">#REF!</definedName>
    <definedName name="__APW_RESTORE_DATA4684__" hidden="1">#REF!</definedName>
    <definedName name="__APW_RESTORE_DATA4685__" hidden="1">#REF!</definedName>
    <definedName name="__APW_RESTORE_DATA4686__" hidden="1">#REF!</definedName>
    <definedName name="__APW_RESTORE_DATA4687__" hidden="1">#REF!</definedName>
    <definedName name="__APW_RESTORE_DATA4688__" hidden="1">#REF!</definedName>
    <definedName name="__APW_RESTORE_DATA4689__" hidden="1">#REF!</definedName>
    <definedName name="__APW_RESTORE_DATA469__" hidden="1">#REF!</definedName>
    <definedName name="__APW_RESTORE_DATA4690__" hidden="1">#REF!</definedName>
    <definedName name="__APW_RESTORE_DATA4691__" hidden="1">#REF!</definedName>
    <definedName name="__APW_RESTORE_DATA4692__" hidden="1">#REF!</definedName>
    <definedName name="__APW_RESTORE_DATA4693__" hidden="1">#REF!</definedName>
    <definedName name="__APW_RESTORE_DATA4694__" hidden="1">#REF!</definedName>
    <definedName name="__APW_RESTORE_DATA4695__" hidden="1">#REF!</definedName>
    <definedName name="__APW_RESTORE_DATA4696__" hidden="1">#REF!</definedName>
    <definedName name="__APW_RESTORE_DATA4697__" hidden="1">#REF!</definedName>
    <definedName name="__APW_RESTORE_DATA4698__" hidden="1">#REF!</definedName>
    <definedName name="__APW_RESTORE_DATA4699__" hidden="1">#REF!</definedName>
    <definedName name="__APW_RESTORE_DATA47__" hidden="1">#REF!</definedName>
    <definedName name="__APW_RESTORE_DATA470__" hidden="1">#REF!</definedName>
    <definedName name="__APW_RESTORE_DATA4700__" hidden="1">#REF!</definedName>
    <definedName name="__APW_RESTORE_DATA4701__" hidden="1">#REF!</definedName>
    <definedName name="__APW_RESTORE_DATA4702__" hidden="1">#REF!</definedName>
    <definedName name="__APW_RESTORE_DATA4703__" hidden="1">#REF!</definedName>
    <definedName name="__APW_RESTORE_DATA4704__" hidden="1">#REF!</definedName>
    <definedName name="__APW_RESTORE_DATA4705__" hidden="1">#REF!</definedName>
    <definedName name="__APW_RESTORE_DATA4706__" hidden="1">#REF!</definedName>
    <definedName name="__APW_RESTORE_DATA4707__" hidden="1">#REF!</definedName>
    <definedName name="__APW_RESTORE_DATA4708__" hidden="1">#REF!</definedName>
    <definedName name="__APW_RESTORE_DATA4709__" hidden="1">#REF!</definedName>
    <definedName name="__APW_RESTORE_DATA471__" hidden="1">#REF!</definedName>
    <definedName name="__APW_RESTORE_DATA4710__" hidden="1">#REF!</definedName>
    <definedName name="__APW_RESTORE_DATA4711__" hidden="1">#REF!</definedName>
    <definedName name="__APW_RESTORE_DATA4712__" hidden="1">#REF!</definedName>
    <definedName name="__APW_RESTORE_DATA4713__" hidden="1">#REF!</definedName>
    <definedName name="__APW_RESTORE_DATA4714__" hidden="1">#REF!</definedName>
    <definedName name="__APW_RESTORE_DATA4715__" hidden="1">#REF!</definedName>
    <definedName name="__APW_RESTORE_DATA4716__" hidden="1">#REF!</definedName>
    <definedName name="__APW_RESTORE_DATA4717__" hidden="1">#REF!</definedName>
    <definedName name="__APW_RESTORE_DATA4718__" hidden="1">#REF!</definedName>
    <definedName name="__APW_RESTORE_DATA4719__" hidden="1">#REF!</definedName>
    <definedName name="__APW_RESTORE_DATA472__" hidden="1">#REF!</definedName>
    <definedName name="__APW_RESTORE_DATA4720__" hidden="1">#REF!</definedName>
    <definedName name="__APW_RESTORE_DATA4721__" hidden="1">#REF!</definedName>
    <definedName name="__APW_RESTORE_DATA4722__" hidden="1">#REF!</definedName>
    <definedName name="__APW_RESTORE_DATA4723__" hidden="1">#REF!</definedName>
    <definedName name="__APW_RESTORE_DATA4724__" hidden="1">#REF!</definedName>
    <definedName name="__APW_RESTORE_DATA4725__" hidden="1">#REF!</definedName>
    <definedName name="__APW_RESTORE_DATA4726__" hidden="1">#REF!</definedName>
    <definedName name="__APW_RESTORE_DATA4727__" hidden="1">#REF!</definedName>
    <definedName name="__APW_RESTORE_DATA4728__" hidden="1">#REF!</definedName>
    <definedName name="__APW_RESTORE_DATA4729__" hidden="1">#REF!</definedName>
    <definedName name="__APW_RESTORE_DATA473__" hidden="1">#REF!</definedName>
    <definedName name="__APW_RESTORE_DATA4730__" hidden="1">#REF!</definedName>
    <definedName name="__APW_RESTORE_DATA4731__" hidden="1">#REF!</definedName>
    <definedName name="__APW_RESTORE_DATA4732__" hidden="1">#REF!</definedName>
    <definedName name="__APW_RESTORE_DATA4733__" hidden="1">#REF!</definedName>
    <definedName name="__APW_RESTORE_DATA4734__" hidden="1">#REF!</definedName>
    <definedName name="__APW_RESTORE_DATA4735__" hidden="1">#REF!</definedName>
    <definedName name="__APW_RESTORE_DATA4736__" hidden="1">#REF!</definedName>
    <definedName name="__APW_RESTORE_DATA4737__" hidden="1">#REF!</definedName>
    <definedName name="__APW_RESTORE_DATA4738__" hidden="1">#REF!</definedName>
    <definedName name="__APW_RESTORE_DATA4739__" hidden="1">#REF!</definedName>
    <definedName name="__APW_RESTORE_DATA474__" hidden="1">#REF!</definedName>
    <definedName name="__APW_RESTORE_DATA4740__" hidden="1">#REF!</definedName>
    <definedName name="__APW_RESTORE_DATA4741__" hidden="1">#REF!</definedName>
    <definedName name="__APW_RESTORE_DATA4742__" hidden="1">#REF!</definedName>
    <definedName name="__APW_RESTORE_DATA4743__" hidden="1">#REF!</definedName>
    <definedName name="__APW_RESTORE_DATA4744__" hidden="1">#REF!</definedName>
    <definedName name="__APW_RESTORE_DATA4745__" hidden="1">#REF!</definedName>
    <definedName name="__APW_RESTORE_DATA4746__" hidden="1">#REF!</definedName>
    <definedName name="__APW_RESTORE_DATA4747__" hidden="1">#REF!</definedName>
    <definedName name="__APW_RESTORE_DATA4748__" hidden="1">#REF!</definedName>
    <definedName name="__APW_RESTORE_DATA4749__" hidden="1">#REF!</definedName>
    <definedName name="__APW_RESTORE_DATA475__" hidden="1">#REF!</definedName>
    <definedName name="__APW_RESTORE_DATA4750__" hidden="1">#REF!</definedName>
    <definedName name="__APW_RESTORE_DATA4751__" hidden="1">#REF!</definedName>
    <definedName name="__APW_RESTORE_DATA4752__" hidden="1">#REF!</definedName>
    <definedName name="__APW_RESTORE_DATA4753__" hidden="1">#REF!</definedName>
    <definedName name="__APW_RESTORE_DATA4754__" hidden="1">#REF!</definedName>
    <definedName name="__APW_RESTORE_DATA4755__" hidden="1">#REF!</definedName>
    <definedName name="__APW_RESTORE_DATA4756__" hidden="1">#REF!</definedName>
    <definedName name="__APW_RESTORE_DATA4757__" hidden="1">#REF!</definedName>
    <definedName name="__APW_RESTORE_DATA4758__" hidden="1">#REF!</definedName>
    <definedName name="__APW_RESTORE_DATA4759__" hidden="1">#REF!</definedName>
    <definedName name="__APW_RESTORE_DATA476__" hidden="1">#REF!</definedName>
    <definedName name="__APW_RESTORE_DATA4760__" hidden="1">#REF!</definedName>
    <definedName name="__APW_RESTORE_DATA4761__" hidden="1">#REF!</definedName>
    <definedName name="__APW_RESTORE_DATA4762__" hidden="1">#REF!</definedName>
    <definedName name="__APW_RESTORE_DATA4763__" hidden="1">#REF!</definedName>
    <definedName name="__APW_RESTORE_DATA4764__" hidden="1">#REF!</definedName>
    <definedName name="__APW_RESTORE_DATA4765__" hidden="1">#REF!</definedName>
    <definedName name="__APW_RESTORE_DATA4766__" hidden="1">#REF!</definedName>
    <definedName name="__APW_RESTORE_DATA4767__" hidden="1">#REF!</definedName>
    <definedName name="__APW_RESTORE_DATA4768__" hidden="1">#REF!</definedName>
    <definedName name="__APW_RESTORE_DATA4769__" hidden="1">#REF!</definedName>
    <definedName name="__APW_RESTORE_DATA477__" hidden="1">#REF!</definedName>
    <definedName name="__APW_RESTORE_DATA4770__" hidden="1">#REF!</definedName>
    <definedName name="__APW_RESTORE_DATA4771__" hidden="1">#REF!</definedName>
    <definedName name="__APW_RESTORE_DATA4772__" hidden="1">#REF!</definedName>
    <definedName name="__APW_RESTORE_DATA4773__" hidden="1">#REF!</definedName>
    <definedName name="__APW_RESTORE_DATA4774__" hidden="1">#REF!</definedName>
    <definedName name="__APW_RESTORE_DATA4775__" hidden="1">#REF!</definedName>
    <definedName name="__APW_RESTORE_DATA4776__" hidden="1">#REF!</definedName>
    <definedName name="__APW_RESTORE_DATA4777__" hidden="1">#REF!</definedName>
    <definedName name="__APW_RESTORE_DATA4778__" hidden="1">#REF!</definedName>
    <definedName name="__APW_RESTORE_DATA4779__" hidden="1">#REF!</definedName>
    <definedName name="__APW_RESTORE_DATA478__" hidden="1">#REF!</definedName>
    <definedName name="__APW_RESTORE_DATA4780__" hidden="1">#REF!</definedName>
    <definedName name="__APW_RESTORE_DATA4781__" hidden="1">#REF!</definedName>
    <definedName name="__APW_RESTORE_DATA4782__" hidden="1">#REF!</definedName>
    <definedName name="__APW_RESTORE_DATA4783__" hidden="1">#REF!</definedName>
    <definedName name="__APW_RESTORE_DATA4784__" hidden="1">#REF!</definedName>
    <definedName name="__APW_RESTORE_DATA4785__" hidden="1">#REF!</definedName>
    <definedName name="__APW_RESTORE_DATA4786__" hidden="1">#REF!</definedName>
    <definedName name="__APW_RESTORE_DATA4787__" hidden="1">#REF!</definedName>
    <definedName name="__APW_RESTORE_DATA4788__" hidden="1">#REF!</definedName>
    <definedName name="__APW_RESTORE_DATA4789__" hidden="1">#REF!</definedName>
    <definedName name="__APW_RESTORE_DATA479__" hidden="1">#REF!</definedName>
    <definedName name="__APW_RESTORE_DATA4790__" hidden="1">#REF!</definedName>
    <definedName name="__APW_RESTORE_DATA4791__" hidden="1">#REF!</definedName>
    <definedName name="__APW_RESTORE_DATA4792__" hidden="1">#REF!</definedName>
    <definedName name="__APW_RESTORE_DATA4793__" hidden="1">#REF!</definedName>
    <definedName name="__APW_RESTORE_DATA4794__" hidden="1">#REF!</definedName>
    <definedName name="__APW_RESTORE_DATA4795__" hidden="1">#REF!</definedName>
    <definedName name="__APW_RESTORE_DATA4796__" hidden="1">#REF!</definedName>
    <definedName name="__APW_RESTORE_DATA4797__" hidden="1">#REF!</definedName>
    <definedName name="__APW_RESTORE_DATA4798__" hidden="1">#REF!</definedName>
    <definedName name="__APW_RESTORE_DATA4799__" hidden="1">#REF!</definedName>
    <definedName name="__APW_RESTORE_DATA48__" hidden="1">#REF!</definedName>
    <definedName name="__APW_RESTORE_DATA480__" hidden="1">#REF!</definedName>
    <definedName name="__APW_RESTORE_DATA4800__" hidden="1">#REF!</definedName>
    <definedName name="__APW_RESTORE_DATA4801__" hidden="1">#REF!</definedName>
    <definedName name="__APW_RESTORE_DATA4802__" hidden="1">#REF!</definedName>
    <definedName name="__APW_RESTORE_DATA4803__" hidden="1">#REF!</definedName>
    <definedName name="__APW_RESTORE_DATA4804__" hidden="1">#REF!</definedName>
    <definedName name="__APW_RESTORE_DATA4805__" hidden="1">#REF!</definedName>
    <definedName name="__APW_RESTORE_DATA4806__" hidden="1">#REF!</definedName>
    <definedName name="__APW_RESTORE_DATA4807__" hidden="1">#REF!</definedName>
    <definedName name="__APW_RESTORE_DATA4808__" hidden="1">#REF!</definedName>
    <definedName name="__APW_RESTORE_DATA4809__" hidden="1">#REF!</definedName>
    <definedName name="__APW_RESTORE_DATA481__" hidden="1">#REF!</definedName>
    <definedName name="__APW_RESTORE_DATA4810__" hidden="1">#REF!</definedName>
    <definedName name="__APW_RESTORE_DATA4811__" hidden="1">#REF!</definedName>
    <definedName name="__APW_RESTORE_DATA4812__" hidden="1">#REF!</definedName>
    <definedName name="__APW_RESTORE_DATA4813__" hidden="1">#REF!</definedName>
    <definedName name="__APW_RESTORE_DATA4814__" hidden="1">#REF!</definedName>
    <definedName name="__APW_RESTORE_DATA4815__" hidden="1">#REF!</definedName>
    <definedName name="__APW_RESTORE_DATA4816__" hidden="1">#REF!</definedName>
    <definedName name="__APW_RESTORE_DATA4817__" hidden="1">#REF!</definedName>
    <definedName name="__APW_RESTORE_DATA4818__" hidden="1">#REF!</definedName>
    <definedName name="__APW_RESTORE_DATA4819__" hidden="1">#REF!</definedName>
    <definedName name="__APW_RESTORE_DATA482__" hidden="1">#REF!</definedName>
    <definedName name="__APW_RESTORE_DATA4820__" hidden="1">#REF!</definedName>
    <definedName name="__APW_RESTORE_DATA4821__" hidden="1">#REF!</definedName>
    <definedName name="__APW_RESTORE_DATA4822__" hidden="1">#REF!</definedName>
    <definedName name="__APW_RESTORE_DATA4823__" hidden="1">#REF!</definedName>
    <definedName name="__APW_RESTORE_DATA4824__" hidden="1">#REF!</definedName>
    <definedName name="__APW_RESTORE_DATA4825__" hidden="1">#REF!</definedName>
    <definedName name="__APW_RESTORE_DATA4826__" hidden="1">#REF!</definedName>
    <definedName name="__APW_RESTORE_DATA4827__" hidden="1">#REF!</definedName>
    <definedName name="__APW_RESTORE_DATA4828__" hidden="1">#REF!</definedName>
    <definedName name="__APW_RESTORE_DATA4829__" hidden="1">#REF!</definedName>
    <definedName name="__APW_RESTORE_DATA483__" hidden="1">#REF!</definedName>
    <definedName name="__APW_RESTORE_DATA4830__" hidden="1">#REF!</definedName>
    <definedName name="__APW_RESTORE_DATA4831__" hidden="1">#REF!</definedName>
    <definedName name="__APW_RESTORE_DATA4832__" hidden="1">#REF!</definedName>
    <definedName name="__APW_RESTORE_DATA4833__" hidden="1">#REF!</definedName>
    <definedName name="__APW_RESTORE_DATA4834__" hidden="1">#REF!</definedName>
    <definedName name="__APW_RESTORE_DATA4835__" hidden="1">#REF!</definedName>
    <definedName name="__APW_RESTORE_DATA4836__" hidden="1">#REF!</definedName>
    <definedName name="__APW_RESTORE_DATA4837__" hidden="1">#REF!</definedName>
    <definedName name="__APW_RESTORE_DATA4838__" hidden="1">#REF!</definedName>
    <definedName name="__APW_RESTORE_DATA4839__" hidden="1">#REF!</definedName>
    <definedName name="__APW_RESTORE_DATA484__" hidden="1">#REF!</definedName>
    <definedName name="__APW_RESTORE_DATA4840__" hidden="1">#REF!</definedName>
    <definedName name="__APW_RESTORE_DATA4841__" hidden="1">#REF!</definedName>
    <definedName name="__APW_RESTORE_DATA4842__" hidden="1">#REF!</definedName>
    <definedName name="__APW_RESTORE_DATA4843__" hidden="1">#REF!</definedName>
    <definedName name="__APW_RESTORE_DATA4844__" hidden="1">#REF!</definedName>
    <definedName name="__APW_RESTORE_DATA4845__" hidden="1">#REF!</definedName>
    <definedName name="__APW_RESTORE_DATA4846__" hidden="1">#REF!</definedName>
    <definedName name="__APW_RESTORE_DATA4847__" hidden="1">#REF!</definedName>
    <definedName name="__APW_RESTORE_DATA4848__" hidden="1">#REF!</definedName>
    <definedName name="__APW_RESTORE_DATA4849__" hidden="1">#REF!</definedName>
    <definedName name="__APW_RESTORE_DATA485__" hidden="1">#REF!</definedName>
    <definedName name="__APW_RESTORE_DATA4850__" hidden="1">#REF!</definedName>
    <definedName name="__APW_RESTORE_DATA4851__" hidden="1">#REF!</definedName>
    <definedName name="__APW_RESTORE_DATA4852__" hidden="1">#REF!</definedName>
    <definedName name="__APW_RESTORE_DATA4853__" hidden="1">#REF!</definedName>
    <definedName name="__APW_RESTORE_DATA4854__" hidden="1">#REF!</definedName>
    <definedName name="__APW_RESTORE_DATA4855__" hidden="1">#REF!</definedName>
    <definedName name="__APW_RESTORE_DATA4856__" hidden="1">#REF!</definedName>
    <definedName name="__APW_RESTORE_DATA4857__" hidden="1">#REF!</definedName>
    <definedName name="__APW_RESTORE_DATA4858__" hidden="1">#REF!</definedName>
    <definedName name="__APW_RESTORE_DATA4859__" hidden="1">#REF!</definedName>
    <definedName name="__APW_RESTORE_DATA486__" hidden="1">#REF!</definedName>
    <definedName name="__APW_RESTORE_DATA4860__" hidden="1">#REF!</definedName>
    <definedName name="__APW_RESTORE_DATA4861__" hidden="1">#REF!</definedName>
    <definedName name="__APW_RESTORE_DATA4862__" hidden="1">#REF!</definedName>
    <definedName name="__APW_RESTORE_DATA4863__" hidden="1">#REF!</definedName>
    <definedName name="__APW_RESTORE_DATA4864__" hidden="1">#REF!</definedName>
    <definedName name="__APW_RESTORE_DATA4865__" hidden="1">#REF!</definedName>
    <definedName name="__APW_RESTORE_DATA4866__" hidden="1">#REF!</definedName>
    <definedName name="__APW_RESTORE_DATA4867__" hidden="1">#REF!</definedName>
    <definedName name="__APW_RESTORE_DATA4868__" hidden="1">#REF!</definedName>
    <definedName name="__APW_RESTORE_DATA4869__" hidden="1">#REF!</definedName>
    <definedName name="__APW_RESTORE_DATA487__" hidden="1">#REF!</definedName>
    <definedName name="__APW_RESTORE_DATA4870__" hidden="1">#REF!</definedName>
    <definedName name="__APW_RESTORE_DATA4871__" hidden="1">#REF!</definedName>
    <definedName name="__APW_RESTORE_DATA4872__" hidden="1">#REF!</definedName>
    <definedName name="__APW_RESTORE_DATA4873__" hidden="1">#REF!</definedName>
    <definedName name="__APW_RESTORE_DATA4874__" hidden="1">#REF!</definedName>
    <definedName name="__APW_RESTORE_DATA4875__" hidden="1">#REF!</definedName>
    <definedName name="__APW_RESTORE_DATA4876__" hidden="1">#REF!</definedName>
    <definedName name="__APW_RESTORE_DATA4877__" hidden="1">#REF!</definedName>
    <definedName name="__APW_RESTORE_DATA4878__" hidden="1">#REF!</definedName>
    <definedName name="__APW_RESTORE_DATA4879__" hidden="1">#REF!</definedName>
    <definedName name="__APW_RESTORE_DATA488__" hidden="1">#REF!</definedName>
    <definedName name="__APW_RESTORE_DATA4880__" hidden="1">#REF!</definedName>
    <definedName name="__APW_RESTORE_DATA4881__" hidden="1">#REF!</definedName>
    <definedName name="__APW_RESTORE_DATA4882__" hidden="1">#REF!</definedName>
    <definedName name="__APW_RESTORE_DATA4883__" hidden="1">#REF!</definedName>
    <definedName name="__APW_RESTORE_DATA4884__" hidden="1">#REF!</definedName>
    <definedName name="__APW_RESTORE_DATA4885__" hidden="1">#REF!</definedName>
    <definedName name="__APW_RESTORE_DATA4886__" hidden="1">#REF!</definedName>
    <definedName name="__APW_RESTORE_DATA4887__" hidden="1">#REF!</definedName>
    <definedName name="__APW_RESTORE_DATA4888__" hidden="1">#REF!</definedName>
    <definedName name="__APW_RESTORE_DATA4889__" hidden="1">#REF!</definedName>
    <definedName name="__APW_RESTORE_DATA489__" hidden="1">#REF!</definedName>
    <definedName name="__APW_RESTORE_DATA4890__" hidden="1">#REF!</definedName>
    <definedName name="__APW_RESTORE_DATA4891__" hidden="1">#REF!</definedName>
    <definedName name="__APW_RESTORE_DATA4892__" hidden="1">#REF!</definedName>
    <definedName name="__APW_RESTORE_DATA4893__" hidden="1">#REF!</definedName>
    <definedName name="__APW_RESTORE_DATA4894__" hidden="1">#REF!</definedName>
    <definedName name="__APW_RESTORE_DATA4895__" hidden="1">#REF!</definedName>
    <definedName name="__APW_RESTORE_DATA4896__" hidden="1">#REF!</definedName>
    <definedName name="__APW_RESTORE_DATA4897__" hidden="1">#REF!</definedName>
    <definedName name="__APW_RESTORE_DATA4898__" hidden="1">#REF!</definedName>
    <definedName name="__APW_RESTORE_DATA4899__" hidden="1">#REF!</definedName>
    <definedName name="__APW_RESTORE_DATA49__" hidden="1">#REF!</definedName>
    <definedName name="__APW_RESTORE_DATA490__" hidden="1">#REF!</definedName>
    <definedName name="__APW_RESTORE_DATA4900__" hidden="1">#REF!</definedName>
    <definedName name="__APW_RESTORE_DATA4901__" hidden="1">#REF!</definedName>
    <definedName name="__APW_RESTORE_DATA4902__" hidden="1">#REF!</definedName>
    <definedName name="__APW_RESTORE_DATA4903__" hidden="1">#REF!</definedName>
    <definedName name="__APW_RESTORE_DATA4904__" hidden="1">#REF!</definedName>
    <definedName name="__APW_RESTORE_DATA4905__" hidden="1">#REF!</definedName>
    <definedName name="__APW_RESTORE_DATA4906__" hidden="1">#REF!</definedName>
    <definedName name="__APW_RESTORE_DATA4907__" hidden="1">#REF!</definedName>
    <definedName name="__APW_RESTORE_DATA4908__" hidden="1">#REF!</definedName>
    <definedName name="__APW_RESTORE_DATA4909__" hidden="1">#REF!</definedName>
    <definedName name="__APW_RESTORE_DATA491__" hidden="1">#REF!</definedName>
    <definedName name="__APW_RESTORE_DATA4910__" hidden="1">#REF!</definedName>
    <definedName name="__APW_RESTORE_DATA4911__" hidden="1">#REF!</definedName>
    <definedName name="__APW_RESTORE_DATA4912__" hidden="1">#REF!</definedName>
    <definedName name="__APW_RESTORE_DATA4913__" hidden="1">#REF!</definedName>
    <definedName name="__APW_RESTORE_DATA4914__" hidden="1">#REF!</definedName>
    <definedName name="__APW_RESTORE_DATA4915__" hidden="1">#REF!</definedName>
    <definedName name="__APW_RESTORE_DATA4916__" hidden="1">#REF!</definedName>
    <definedName name="__APW_RESTORE_DATA4917__" hidden="1">#REF!</definedName>
    <definedName name="__APW_RESTORE_DATA4918__" hidden="1">#REF!</definedName>
    <definedName name="__APW_RESTORE_DATA4919__" hidden="1">#REF!</definedName>
    <definedName name="__APW_RESTORE_DATA492__" hidden="1">#REF!</definedName>
    <definedName name="__APW_RESTORE_DATA4920__" hidden="1">#REF!</definedName>
    <definedName name="__APW_RESTORE_DATA4921__" hidden="1">#REF!</definedName>
    <definedName name="__APW_RESTORE_DATA4922__" hidden="1">#REF!</definedName>
    <definedName name="__APW_RESTORE_DATA4923__" hidden="1">#REF!</definedName>
    <definedName name="__APW_RESTORE_DATA4924__" hidden="1">#REF!</definedName>
    <definedName name="__APW_RESTORE_DATA4925__" hidden="1">#REF!</definedName>
    <definedName name="__APW_RESTORE_DATA4926__" hidden="1">#REF!</definedName>
    <definedName name="__APW_RESTORE_DATA4927__" hidden="1">#REF!</definedName>
    <definedName name="__APW_RESTORE_DATA4928__" hidden="1">#REF!</definedName>
    <definedName name="__APW_RESTORE_DATA4929__" hidden="1">#REF!</definedName>
    <definedName name="__APW_RESTORE_DATA493__" hidden="1">#REF!</definedName>
    <definedName name="__APW_RESTORE_DATA4930__" hidden="1">#REF!</definedName>
    <definedName name="__APW_RESTORE_DATA4931__" hidden="1">#REF!</definedName>
    <definedName name="__APW_RESTORE_DATA4932__" hidden="1">#REF!</definedName>
    <definedName name="__APW_RESTORE_DATA4933__" hidden="1">#REF!</definedName>
    <definedName name="__APW_RESTORE_DATA4934__" hidden="1">#REF!</definedName>
    <definedName name="__APW_RESTORE_DATA4935__" hidden="1">#REF!</definedName>
    <definedName name="__APW_RESTORE_DATA4936__" hidden="1">#REF!</definedName>
    <definedName name="__APW_RESTORE_DATA4937__" hidden="1">#REF!</definedName>
    <definedName name="__APW_RESTORE_DATA4938__" hidden="1">#REF!</definedName>
    <definedName name="__APW_RESTORE_DATA4939__" hidden="1">#REF!</definedName>
    <definedName name="__APW_RESTORE_DATA494__" hidden="1">#REF!</definedName>
    <definedName name="__APW_RESTORE_DATA4940__" hidden="1">#REF!</definedName>
    <definedName name="__APW_RESTORE_DATA4941__" hidden="1">#REF!</definedName>
    <definedName name="__APW_RESTORE_DATA4942__" hidden="1">#REF!</definedName>
    <definedName name="__APW_RESTORE_DATA4943__" hidden="1">#REF!</definedName>
    <definedName name="__APW_RESTORE_DATA4944__" hidden="1">#REF!</definedName>
    <definedName name="__APW_RESTORE_DATA4945__" hidden="1">#REF!</definedName>
    <definedName name="__APW_RESTORE_DATA4946__" hidden="1">#REF!</definedName>
    <definedName name="__APW_RESTORE_DATA4947__" hidden="1">#REF!</definedName>
    <definedName name="__APW_RESTORE_DATA4948__" hidden="1">#REF!</definedName>
    <definedName name="__APW_RESTORE_DATA4949__" hidden="1">#REF!</definedName>
    <definedName name="__APW_RESTORE_DATA495__" hidden="1">#REF!</definedName>
    <definedName name="__APW_RESTORE_DATA4950__" hidden="1">#REF!</definedName>
    <definedName name="__APW_RESTORE_DATA4951__" hidden="1">#REF!</definedName>
    <definedName name="__APW_RESTORE_DATA4952__" hidden="1">#REF!</definedName>
    <definedName name="__APW_RESTORE_DATA4953__" hidden="1">#REF!</definedName>
    <definedName name="__APW_RESTORE_DATA4954__" hidden="1">#REF!</definedName>
    <definedName name="__APW_RESTORE_DATA4955__" hidden="1">#REF!</definedName>
    <definedName name="__APW_RESTORE_DATA4956__" hidden="1">#REF!</definedName>
    <definedName name="__APW_RESTORE_DATA4957__" hidden="1">#REF!</definedName>
    <definedName name="__APW_RESTORE_DATA4958__" hidden="1">#REF!</definedName>
    <definedName name="__APW_RESTORE_DATA4959__" hidden="1">#REF!</definedName>
    <definedName name="__APW_RESTORE_DATA496__" hidden="1">#REF!</definedName>
    <definedName name="__APW_RESTORE_DATA4960__" hidden="1">#REF!</definedName>
    <definedName name="__APW_RESTORE_DATA4961__" hidden="1">#REF!</definedName>
    <definedName name="__APW_RESTORE_DATA4962__" hidden="1">#REF!</definedName>
    <definedName name="__APW_RESTORE_DATA4963__" hidden="1">#REF!</definedName>
    <definedName name="__APW_RESTORE_DATA4964__" hidden="1">#REF!</definedName>
    <definedName name="__APW_RESTORE_DATA4965__" hidden="1">#REF!</definedName>
    <definedName name="__APW_RESTORE_DATA4966__" hidden="1">#REF!</definedName>
    <definedName name="__APW_RESTORE_DATA4967__" hidden="1">#REF!</definedName>
    <definedName name="__APW_RESTORE_DATA4968__" hidden="1">#REF!</definedName>
    <definedName name="__APW_RESTORE_DATA4969__" hidden="1">#REF!</definedName>
    <definedName name="__APW_RESTORE_DATA497__" hidden="1">#REF!</definedName>
    <definedName name="__APW_RESTORE_DATA4970__" hidden="1">#REF!</definedName>
    <definedName name="__APW_RESTORE_DATA4971__" hidden="1">#REF!</definedName>
    <definedName name="__APW_RESTORE_DATA4972__" hidden="1">#REF!</definedName>
    <definedName name="__APW_RESTORE_DATA4973__" hidden="1">#REF!</definedName>
    <definedName name="__APW_RESTORE_DATA4974__" hidden="1">#REF!</definedName>
    <definedName name="__APW_RESTORE_DATA4975__" hidden="1">#REF!</definedName>
    <definedName name="__APW_RESTORE_DATA4976__" hidden="1">#REF!</definedName>
    <definedName name="__APW_RESTORE_DATA4977__" hidden="1">#REF!</definedName>
    <definedName name="__APW_RESTORE_DATA4978__" hidden="1">#REF!</definedName>
    <definedName name="__APW_RESTORE_DATA4979__" hidden="1">#REF!</definedName>
    <definedName name="__APW_RESTORE_DATA498__" hidden="1">#REF!</definedName>
    <definedName name="__APW_RESTORE_DATA4980__" hidden="1">#REF!</definedName>
    <definedName name="__APW_RESTORE_DATA4981__" hidden="1">#REF!</definedName>
    <definedName name="__APW_RESTORE_DATA4982__" hidden="1">#REF!</definedName>
    <definedName name="__APW_RESTORE_DATA4983__" hidden="1">#REF!</definedName>
    <definedName name="__APW_RESTORE_DATA4984__" hidden="1">#REF!</definedName>
    <definedName name="__APW_RESTORE_DATA4985__" hidden="1">#REF!</definedName>
    <definedName name="__APW_RESTORE_DATA4986__" hidden="1">#REF!</definedName>
    <definedName name="__APW_RESTORE_DATA4987__" hidden="1">#REF!</definedName>
    <definedName name="__APW_RESTORE_DATA4988__" hidden="1">#REF!</definedName>
    <definedName name="__APW_RESTORE_DATA4989__" hidden="1">#REF!</definedName>
    <definedName name="__APW_RESTORE_DATA499__" hidden="1">#REF!</definedName>
    <definedName name="__APW_RESTORE_DATA4990__" hidden="1">#REF!</definedName>
    <definedName name="__APW_RESTORE_DATA4991__" hidden="1">#REF!</definedName>
    <definedName name="__APW_RESTORE_DATA4992__" hidden="1">#REF!</definedName>
    <definedName name="__APW_RESTORE_DATA4993__" hidden="1">#REF!</definedName>
    <definedName name="__APW_RESTORE_DATA4994__" hidden="1">#REF!</definedName>
    <definedName name="__APW_RESTORE_DATA4995__" hidden="1">#REF!</definedName>
    <definedName name="__APW_RESTORE_DATA4996__" hidden="1">#REF!</definedName>
    <definedName name="__APW_RESTORE_DATA4997__" hidden="1">#REF!</definedName>
    <definedName name="__APW_RESTORE_DATA4998__" hidden="1">#REF!</definedName>
    <definedName name="__APW_RESTORE_DATA4999__" hidden="1">#REF!</definedName>
    <definedName name="__APW_RESTORE_DATA5__" hidden="1">#REF!</definedName>
    <definedName name="__APW_RESTORE_DATA50__" hidden="1">#REF!</definedName>
    <definedName name="__APW_RESTORE_DATA500__" hidden="1">#REF!</definedName>
    <definedName name="__APW_RESTORE_DATA5000__" hidden="1">#REF!</definedName>
    <definedName name="__APW_RESTORE_DATA5001__" hidden="1">#REF!</definedName>
    <definedName name="__APW_RESTORE_DATA5002__" hidden="1">#REF!</definedName>
    <definedName name="__APW_RESTORE_DATA5003__" hidden="1">#REF!</definedName>
    <definedName name="__APW_RESTORE_DATA5004__" hidden="1">#REF!</definedName>
    <definedName name="__APW_RESTORE_DATA5005__" hidden="1">#REF!</definedName>
    <definedName name="__APW_RESTORE_DATA5006__" hidden="1">#REF!</definedName>
    <definedName name="__APW_RESTORE_DATA5007__" hidden="1">#REF!</definedName>
    <definedName name="__APW_RESTORE_DATA5008__" hidden="1">#REF!</definedName>
    <definedName name="__APW_RESTORE_DATA5009__" hidden="1">#REF!</definedName>
    <definedName name="__APW_RESTORE_DATA501__" hidden="1">#REF!</definedName>
    <definedName name="__APW_RESTORE_DATA5010__" hidden="1">#REF!</definedName>
    <definedName name="__APW_RESTORE_DATA5011__" hidden="1">#REF!</definedName>
    <definedName name="__APW_RESTORE_DATA5012__" hidden="1">#REF!</definedName>
    <definedName name="__APW_RESTORE_DATA5013__" hidden="1">#REF!</definedName>
    <definedName name="__APW_RESTORE_DATA5014__" hidden="1">#REF!</definedName>
    <definedName name="__APW_RESTORE_DATA5015__" hidden="1">#REF!</definedName>
    <definedName name="__APW_RESTORE_DATA5016__" hidden="1">#REF!</definedName>
    <definedName name="__APW_RESTORE_DATA5017__" hidden="1">#REF!</definedName>
    <definedName name="__APW_RESTORE_DATA5018__" hidden="1">#REF!</definedName>
    <definedName name="__APW_RESTORE_DATA5019__" hidden="1">#REF!</definedName>
    <definedName name="__APW_RESTORE_DATA502__" hidden="1">#REF!</definedName>
    <definedName name="__APW_RESTORE_DATA5020__" hidden="1">#REF!</definedName>
    <definedName name="__APW_RESTORE_DATA5021__" hidden="1">#REF!</definedName>
    <definedName name="__APW_RESTORE_DATA5022__" hidden="1">#REF!</definedName>
    <definedName name="__APW_RESTORE_DATA5023__" hidden="1">#REF!</definedName>
    <definedName name="__APW_RESTORE_DATA5024__" hidden="1">#REF!</definedName>
    <definedName name="__APW_RESTORE_DATA5025__" hidden="1">#REF!</definedName>
    <definedName name="__APW_RESTORE_DATA5026__" hidden="1">#REF!</definedName>
    <definedName name="__APW_RESTORE_DATA5027__" hidden="1">#REF!</definedName>
    <definedName name="__APW_RESTORE_DATA5028__" hidden="1">#REF!</definedName>
    <definedName name="__APW_RESTORE_DATA5029__" hidden="1">#REF!</definedName>
    <definedName name="__APW_RESTORE_DATA503__" hidden="1">#REF!</definedName>
    <definedName name="__APW_RESTORE_DATA5030__" hidden="1">#REF!</definedName>
    <definedName name="__APW_RESTORE_DATA5031__" hidden="1">#REF!</definedName>
    <definedName name="__APW_RESTORE_DATA5032__" hidden="1">#REF!</definedName>
    <definedName name="__APW_RESTORE_DATA5033__" hidden="1">#REF!</definedName>
    <definedName name="__APW_RESTORE_DATA5034__" hidden="1">#REF!</definedName>
    <definedName name="__APW_RESTORE_DATA5035__" hidden="1">#REF!</definedName>
    <definedName name="__APW_RESTORE_DATA5036__" hidden="1">#REF!</definedName>
    <definedName name="__APW_RESTORE_DATA5037__" hidden="1">#REF!</definedName>
    <definedName name="__APW_RESTORE_DATA5038__" hidden="1">#REF!</definedName>
    <definedName name="__APW_RESTORE_DATA5039__" hidden="1">#REF!</definedName>
    <definedName name="__APW_RESTORE_DATA504__" hidden="1">#REF!</definedName>
    <definedName name="__APW_RESTORE_DATA5040__" hidden="1">#REF!</definedName>
    <definedName name="__APW_RESTORE_DATA5041__" hidden="1">#REF!</definedName>
    <definedName name="__APW_RESTORE_DATA5042__" hidden="1">#REF!</definedName>
    <definedName name="__APW_RESTORE_DATA5043__" hidden="1">#REF!</definedName>
    <definedName name="__APW_RESTORE_DATA5044__" hidden="1">#REF!</definedName>
    <definedName name="__APW_RESTORE_DATA5045__" hidden="1">#REF!</definedName>
    <definedName name="__APW_RESTORE_DATA5046__" hidden="1">#REF!</definedName>
    <definedName name="__APW_RESTORE_DATA5047__" hidden="1">#REF!</definedName>
    <definedName name="__APW_RESTORE_DATA5048__" hidden="1">#REF!</definedName>
    <definedName name="__APW_RESTORE_DATA5049__" hidden="1">#REF!</definedName>
    <definedName name="__APW_RESTORE_DATA505__" hidden="1">#REF!</definedName>
    <definedName name="__APW_RESTORE_DATA5050__" hidden="1">#REF!</definedName>
    <definedName name="__APW_RESTORE_DATA5051__" hidden="1">#REF!</definedName>
    <definedName name="__APW_RESTORE_DATA5052__" hidden="1">#REF!</definedName>
    <definedName name="__APW_RESTORE_DATA5053__" hidden="1">#REF!</definedName>
    <definedName name="__APW_RESTORE_DATA5054__" hidden="1">#REF!</definedName>
    <definedName name="__APW_RESTORE_DATA5055__" hidden="1">#REF!</definedName>
    <definedName name="__APW_RESTORE_DATA5056__" hidden="1">#REF!</definedName>
    <definedName name="__APW_RESTORE_DATA5057__" hidden="1">#REF!</definedName>
    <definedName name="__APW_RESTORE_DATA5058__" hidden="1">#REF!</definedName>
    <definedName name="__APW_RESTORE_DATA5059__" hidden="1">#REF!</definedName>
    <definedName name="__APW_RESTORE_DATA506__" hidden="1">#REF!</definedName>
    <definedName name="__APW_RESTORE_DATA5060__" hidden="1">#REF!</definedName>
    <definedName name="__APW_RESTORE_DATA5061__" hidden="1">#REF!</definedName>
    <definedName name="__APW_RESTORE_DATA5062__" hidden="1">#REF!</definedName>
    <definedName name="__APW_RESTORE_DATA5063__" hidden="1">#REF!</definedName>
    <definedName name="__APW_RESTORE_DATA5064__" hidden="1">#REF!</definedName>
    <definedName name="__APW_RESTORE_DATA5065__" hidden="1">#REF!</definedName>
    <definedName name="__APW_RESTORE_DATA5066__" hidden="1">#REF!</definedName>
    <definedName name="__APW_RESTORE_DATA5067__" hidden="1">#REF!</definedName>
    <definedName name="__APW_RESTORE_DATA5068__" hidden="1">#REF!</definedName>
    <definedName name="__APW_RESTORE_DATA5069__" hidden="1">#REF!</definedName>
    <definedName name="__APW_RESTORE_DATA507__" hidden="1">#REF!</definedName>
    <definedName name="__APW_RESTORE_DATA5070__" hidden="1">#REF!</definedName>
    <definedName name="__APW_RESTORE_DATA5071__" hidden="1">#REF!</definedName>
    <definedName name="__APW_RESTORE_DATA5072__" hidden="1">#REF!</definedName>
    <definedName name="__APW_RESTORE_DATA5073__" hidden="1">#REF!</definedName>
    <definedName name="__APW_RESTORE_DATA5074__" hidden="1">#REF!</definedName>
    <definedName name="__APW_RESTORE_DATA5075__" hidden="1">#REF!</definedName>
    <definedName name="__APW_RESTORE_DATA5076__" hidden="1">#REF!</definedName>
    <definedName name="__APW_RESTORE_DATA5077__" hidden="1">#REF!</definedName>
    <definedName name="__APW_RESTORE_DATA5078__" hidden="1">#REF!</definedName>
    <definedName name="__APW_RESTORE_DATA5079__" hidden="1">#REF!</definedName>
    <definedName name="__APW_RESTORE_DATA508__" hidden="1">#REF!</definedName>
    <definedName name="__APW_RESTORE_DATA5080__" hidden="1">#REF!</definedName>
    <definedName name="__APW_RESTORE_DATA5081__" hidden="1">#REF!</definedName>
    <definedName name="__APW_RESTORE_DATA5082__" hidden="1">#REF!</definedName>
    <definedName name="__APW_RESTORE_DATA5083__" hidden="1">#REF!</definedName>
    <definedName name="__APW_RESTORE_DATA5084__" hidden="1">#REF!</definedName>
    <definedName name="__APW_RESTORE_DATA5085__" hidden="1">#REF!</definedName>
    <definedName name="__APW_RESTORE_DATA5086__" hidden="1">#REF!</definedName>
    <definedName name="__APW_RESTORE_DATA5087__" hidden="1">#REF!</definedName>
    <definedName name="__APW_RESTORE_DATA5088__" hidden="1">#REF!</definedName>
    <definedName name="__APW_RESTORE_DATA5089__" hidden="1">#REF!</definedName>
    <definedName name="__APW_RESTORE_DATA509__" hidden="1">#REF!</definedName>
    <definedName name="__APW_RESTORE_DATA5090__" hidden="1">#REF!</definedName>
    <definedName name="__APW_RESTORE_DATA5091__" hidden="1">#REF!</definedName>
    <definedName name="__APW_RESTORE_DATA5092__" hidden="1">#REF!</definedName>
    <definedName name="__APW_RESTORE_DATA5093__" hidden="1">#REF!</definedName>
    <definedName name="__APW_RESTORE_DATA5094__" hidden="1">#REF!</definedName>
    <definedName name="__APW_RESTORE_DATA5095__" hidden="1">#REF!</definedName>
    <definedName name="__APW_RESTORE_DATA5096__" hidden="1">#REF!</definedName>
    <definedName name="__APW_RESTORE_DATA5097__" hidden="1">#REF!</definedName>
    <definedName name="__APW_RESTORE_DATA5098__" hidden="1">#REF!</definedName>
    <definedName name="__APW_RESTORE_DATA5099__" hidden="1">#REF!</definedName>
    <definedName name="__APW_RESTORE_DATA51__" hidden="1">#REF!</definedName>
    <definedName name="__APW_RESTORE_DATA510__" hidden="1">#REF!</definedName>
    <definedName name="__APW_RESTORE_DATA5100__" hidden="1">#REF!</definedName>
    <definedName name="__APW_RESTORE_DATA5101__" hidden="1">#REF!</definedName>
    <definedName name="__APW_RESTORE_DATA5102__" hidden="1">#REF!</definedName>
    <definedName name="__APW_RESTORE_DATA5103__" hidden="1">#REF!</definedName>
    <definedName name="__APW_RESTORE_DATA5104__" hidden="1">#REF!</definedName>
    <definedName name="__APW_RESTORE_DATA5105__" hidden="1">#REF!</definedName>
    <definedName name="__APW_RESTORE_DATA5106__" hidden="1">#REF!</definedName>
    <definedName name="__APW_RESTORE_DATA5107__" hidden="1">#REF!</definedName>
    <definedName name="__APW_RESTORE_DATA5108__" hidden="1">#REF!</definedName>
    <definedName name="__APW_RESTORE_DATA5109__" hidden="1">#REF!</definedName>
    <definedName name="__APW_RESTORE_DATA511__" hidden="1">#REF!</definedName>
    <definedName name="__APW_RESTORE_DATA5110__" hidden="1">#REF!</definedName>
    <definedName name="__APW_RESTORE_DATA5111__" hidden="1">#REF!</definedName>
    <definedName name="__APW_RESTORE_DATA5112__" hidden="1">#REF!</definedName>
    <definedName name="__APW_RESTORE_DATA5113__" hidden="1">#REF!</definedName>
    <definedName name="__APW_RESTORE_DATA5114__" hidden="1">#REF!</definedName>
    <definedName name="__APW_RESTORE_DATA5115__" hidden="1">#REF!</definedName>
    <definedName name="__APW_RESTORE_DATA5116__" hidden="1">#REF!</definedName>
    <definedName name="__APW_RESTORE_DATA5117__" hidden="1">#REF!</definedName>
    <definedName name="__APW_RESTORE_DATA5118__" hidden="1">#REF!</definedName>
    <definedName name="__APW_RESTORE_DATA5119__" hidden="1">#REF!</definedName>
    <definedName name="__APW_RESTORE_DATA512__" hidden="1">#REF!</definedName>
    <definedName name="__APW_RESTORE_DATA5120__" hidden="1">#REF!</definedName>
    <definedName name="__APW_RESTORE_DATA5121__" hidden="1">#REF!</definedName>
    <definedName name="__APW_RESTORE_DATA5122__" hidden="1">#REF!</definedName>
    <definedName name="__APW_RESTORE_DATA5123__" hidden="1">#REF!</definedName>
    <definedName name="__APW_RESTORE_DATA5124__" hidden="1">#REF!</definedName>
    <definedName name="__APW_RESTORE_DATA5125__" hidden="1">#REF!</definedName>
    <definedName name="__APW_RESTORE_DATA5126__" hidden="1">#REF!</definedName>
    <definedName name="__APW_RESTORE_DATA5127__" hidden="1">#REF!</definedName>
    <definedName name="__APW_RESTORE_DATA5128__" hidden="1">#REF!</definedName>
    <definedName name="__APW_RESTORE_DATA5129__" hidden="1">#REF!</definedName>
    <definedName name="__APW_RESTORE_DATA513__" hidden="1">#REF!</definedName>
    <definedName name="__APW_RESTORE_DATA5130__" hidden="1">#REF!</definedName>
    <definedName name="__APW_RESTORE_DATA5131__" hidden="1">#REF!</definedName>
    <definedName name="__APW_RESTORE_DATA5132__" hidden="1">#REF!</definedName>
    <definedName name="__APW_RESTORE_DATA5133__" hidden="1">#REF!</definedName>
    <definedName name="__APW_RESTORE_DATA5134__" hidden="1">#REF!</definedName>
    <definedName name="__APW_RESTORE_DATA5135__" hidden="1">#REF!</definedName>
    <definedName name="__APW_RESTORE_DATA5136__" hidden="1">#REF!</definedName>
    <definedName name="__APW_RESTORE_DATA5137__" hidden="1">#REF!</definedName>
    <definedName name="__APW_RESTORE_DATA5138__" hidden="1">#REF!</definedName>
    <definedName name="__APW_RESTORE_DATA5139__" hidden="1">#REF!</definedName>
    <definedName name="__APW_RESTORE_DATA514__" hidden="1">#REF!</definedName>
    <definedName name="__APW_RESTORE_DATA5140__" hidden="1">#REF!</definedName>
    <definedName name="__APW_RESTORE_DATA5141__" hidden="1">#REF!</definedName>
    <definedName name="__APW_RESTORE_DATA5142__" hidden="1">#REF!</definedName>
    <definedName name="__APW_RESTORE_DATA5143__" hidden="1">#REF!</definedName>
    <definedName name="__APW_RESTORE_DATA5144__" hidden="1">#REF!</definedName>
    <definedName name="__APW_RESTORE_DATA5145__" hidden="1">#REF!</definedName>
    <definedName name="__APW_RESTORE_DATA5146__" hidden="1">#REF!</definedName>
    <definedName name="__APW_RESTORE_DATA5147__" hidden="1">#REF!</definedName>
    <definedName name="__APW_RESTORE_DATA5148__" hidden="1">#REF!</definedName>
    <definedName name="__APW_RESTORE_DATA5149__" hidden="1">#REF!</definedName>
    <definedName name="__APW_RESTORE_DATA515__" hidden="1">#REF!</definedName>
    <definedName name="__APW_RESTORE_DATA5150__" hidden="1">#REF!</definedName>
    <definedName name="__APW_RESTORE_DATA5151__" hidden="1">#REF!</definedName>
    <definedName name="__APW_RESTORE_DATA5152__" hidden="1">#REF!</definedName>
    <definedName name="__APW_RESTORE_DATA5153__" hidden="1">#REF!</definedName>
    <definedName name="__APW_RESTORE_DATA5154__" hidden="1">#REF!</definedName>
    <definedName name="__APW_RESTORE_DATA5155__" hidden="1">#REF!</definedName>
    <definedName name="__APW_RESTORE_DATA5156__" hidden="1">#REF!</definedName>
    <definedName name="__APW_RESTORE_DATA5157__" hidden="1">#REF!</definedName>
    <definedName name="__APW_RESTORE_DATA5158__" hidden="1">#REF!</definedName>
    <definedName name="__APW_RESTORE_DATA5159__" hidden="1">#REF!</definedName>
    <definedName name="__APW_RESTORE_DATA516__" hidden="1">#REF!</definedName>
    <definedName name="__APW_RESTORE_DATA5160__" hidden="1">#REF!</definedName>
    <definedName name="__APW_RESTORE_DATA5161__" hidden="1">#REF!</definedName>
    <definedName name="__APW_RESTORE_DATA5162__" hidden="1">#REF!</definedName>
    <definedName name="__APW_RESTORE_DATA5163__" hidden="1">#REF!</definedName>
    <definedName name="__APW_RESTORE_DATA5164__" hidden="1">#REF!</definedName>
    <definedName name="__APW_RESTORE_DATA5165__" hidden="1">#REF!</definedName>
    <definedName name="__APW_RESTORE_DATA5166__" hidden="1">#REF!</definedName>
    <definedName name="__APW_RESTORE_DATA5167__" hidden="1">#REF!</definedName>
    <definedName name="__APW_RESTORE_DATA5168__" hidden="1">#REF!</definedName>
    <definedName name="__APW_RESTORE_DATA5169__" hidden="1">#REF!</definedName>
    <definedName name="__APW_RESTORE_DATA517__" hidden="1">#REF!</definedName>
    <definedName name="__APW_RESTORE_DATA5170__" hidden="1">#REF!</definedName>
    <definedName name="__APW_RESTORE_DATA5171__" hidden="1">#REF!</definedName>
    <definedName name="__APW_RESTORE_DATA5172__" hidden="1">#REF!</definedName>
    <definedName name="__APW_RESTORE_DATA5173__" hidden="1">#REF!</definedName>
    <definedName name="__APW_RESTORE_DATA5174__" hidden="1">#REF!</definedName>
    <definedName name="__APW_RESTORE_DATA5175__" hidden="1">#REF!</definedName>
    <definedName name="__APW_RESTORE_DATA5176__" hidden="1">#REF!</definedName>
    <definedName name="__APW_RESTORE_DATA5177__" hidden="1">#REF!</definedName>
    <definedName name="__APW_RESTORE_DATA5178__" hidden="1">#REF!</definedName>
    <definedName name="__APW_RESTORE_DATA5179__" hidden="1">#REF!</definedName>
    <definedName name="__APW_RESTORE_DATA518__" hidden="1">#REF!</definedName>
    <definedName name="__APW_RESTORE_DATA5180__" hidden="1">#REF!</definedName>
    <definedName name="__APW_RESTORE_DATA5181__" hidden="1">#REF!</definedName>
    <definedName name="__APW_RESTORE_DATA5182__" hidden="1">#REF!</definedName>
    <definedName name="__APW_RESTORE_DATA5183__" hidden="1">#REF!</definedName>
    <definedName name="__APW_RESTORE_DATA5184__" hidden="1">#REF!</definedName>
    <definedName name="__APW_RESTORE_DATA5185__" hidden="1">#REF!</definedName>
    <definedName name="__APW_RESTORE_DATA5186__" hidden="1">#REF!</definedName>
    <definedName name="__APW_RESTORE_DATA5187__" hidden="1">#REF!</definedName>
    <definedName name="__APW_RESTORE_DATA5188__" hidden="1">#REF!</definedName>
    <definedName name="__APW_RESTORE_DATA5189__" hidden="1">#REF!</definedName>
    <definedName name="__APW_RESTORE_DATA519__" hidden="1">#REF!</definedName>
    <definedName name="__APW_RESTORE_DATA5190__" hidden="1">#REF!</definedName>
    <definedName name="__APW_RESTORE_DATA5191__" hidden="1">#REF!</definedName>
    <definedName name="__APW_RESTORE_DATA5192__" hidden="1">#REF!</definedName>
    <definedName name="__APW_RESTORE_DATA5193__" hidden="1">#REF!</definedName>
    <definedName name="__APW_RESTORE_DATA5194__" hidden="1">#REF!</definedName>
    <definedName name="__APW_RESTORE_DATA5195__" hidden="1">#REF!</definedName>
    <definedName name="__APW_RESTORE_DATA5196__" hidden="1">#REF!</definedName>
    <definedName name="__APW_RESTORE_DATA5197__" hidden="1">#REF!</definedName>
    <definedName name="__APW_RESTORE_DATA5198__" hidden="1">#REF!</definedName>
    <definedName name="__APW_RESTORE_DATA5199__" hidden="1">#REF!</definedName>
    <definedName name="__APW_RESTORE_DATA52__" hidden="1">#REF!</definedName>
    <definedName name="__APW_RESTORE_DATA520__" hidden="1">#REF!</definedName>
    <definedName name="__APW_RESTORE_DATA5200__" hidden="1">#REF!</definedName>
    <definedName name="__APW_RESTORE_DATA5201__" hidden="1">#REF!</definedName>
    <definedName name="__APW_RESTORE_DATA5202__" hidden="1">#REF!</definedName>
    <definedName name="__APW_RESTORE_DATA5203__" hidden="1">#REF!</definedName>
    <definedName name="__APW_RESTORE_DATA5204__" hidden="1">#REF!</definedName>
    <definedName name="__APW_RESTORE_DATA5205__" hidden="1">#REF!</definedName>
    <definedName name="__APW_RESTORE_DATA5206__" hidden="1">#REF!</definedName>
    <definedName name="__APW_RESTORE_DATA5207__" hidden="1">#REF!</definedName>
    <definedName name="__APW_RESTORE_DATA5208__" hidden="1">#REF!</definedName>
    <definedName name="__APW_RESTORE_DATA5209__" hidden="1">#REF!</definedName>
    <definedName name="__APW_RESTORE_DATA521__" hidden="1">#REF!</definedName>
    <definedName name="__APW_RESTORE_DATA5210__" hidden="1">#REF!</definedName>
    <definedName name="__APW_RESTORE_DATA5211__" hidden="1">#REF!</definedName>
    <definedName name="__APW_RESTORE_DATA5212__" hidden="1">#REF!</definedName>
    <definedName name="__APW_RESTORE_DATA5213__" hidden="1">#REF!</definedName>
    <definedName name="__APW_RESTORE_DATA5214__" hidden="1">#REF!</definedName>
    <definedName name="__APW_RESTORE_DATA5215__" hidden="1">#REF!</definedName>
    <definedName name="__APW_RESTORE_DATA5216__" hidden="1">#REF!</definedName>
    <definedName name="__APW_RESTORE_DATA5217__" hidden="1">#REF!</definedName>
    <definedName name="__APW_RESTORE_DATA5218__" hidden="1">#REF!</definedName>
    <definedName name="__APW_RESTORE_DATA5219__" hidden="1">#REF!</definedName>
    <definedName name="__APW_RESTORE_DATA522__" hidden="1">#REF!</definedName>
    <definedName name="__APW_RESTORE_DATA5220__" hidden="1">#REF!</definedName>
    <definedName name="__APW_RESTORE_DATA5221__" hidden="1">#REF!</definedName>
    <definedName name="__APW_RESTORE_DATA5222__" hidden="1">#REF!</definedName>
    <definedName name="__APW_RESTORE_DATA5223__" hidden="1">#REF!</definedName>
    <definedName name="__APW_RESTORE_DATA5224__" hidden="1">#REF!</definedName>
    <definedName name="__APW_RESTORE_DATA5225__" hidden="1">#REF!</definedName>
    <definedName name="__APW_RESTORE_DATA5226__" hidden="1">#REF!</definedName>
    <definedName name="__APW_RESTORE_DATA5227__" hidden="1">#REF!</definedName>
    <definedName name="__APW_RESTORE_DATA5228__" hidden="1">#REF!</definedName>
    <definedName name="__APW_RESTORE_DATA5229__" hidden="1">#REF!</definedName>
    <definedName name="__APW_RESTORE_DATA523__" hidden="1">#REF!</definedName>
    <definedName name="__APW_RESTORE_DATA5230__" hidden="1">#REF!</definedName>
    <definedName name="__APW_RESTORE_DATA5231__" hidden="1">#REF!</definedName>
    <definedName name="__APW_RESTORE_DATA5232__" hidden="1">#REF!</definedName>
    <definedName name="__APW_RESTORE_DATA5233__" hidden="1">#REF!</definedName>
    <definedName name="__APW_RESTORE_DATA5234__" hidden="1">#REF!</definedName>
    <definedName name="__APW_RESTORE_DATA5235__" hidden="1">#REF!</definedName>
    <definedName name="__APW_RESTORE_DATA5236__" hidden="1">#REF!</definedName>
    <definedName name="__APW_RESTORE_DATA5237__" hidden="1">#REF!</definedName>
    <definedName name="__APW_RESTORE_DATA5238__" hidden="1">#REF!</definedName>
    <definedName name="__APW_RESTORE_DATA5239__" hidden="1">#REF!</definedName>
    <definedName name="__APW_RESTORE_DATA524__" hidden="1">#REF!</definedName>
    <definedName name="__APW_RESTORE_DATA5240__" hidden="1">#REF!</definedName>
    <definedName name="__APW_RESTORE_DATA5241__" hidden="1">#REF!</definedName>
    <definedName name="__APW_RESTORE_DATA5242__" hidden="1">#REF!</definedName>
    <definedName name="__APW_RESTORE_DATA5243__" hidden="1">#REF!</definedName>
    <definedName name="__APW_RESTORE_DATA5244__" hidden="1">#REF!</definedName>
    <definedName name="__APW_RESTORE_DATA5245__" hidden="1">#REF!</definedName>
    <definedName name="__APW_RESTORE_DATA5246__" hidden="1">#REF!</definedName>
    <definedName name="__APW_RESTORE_DATA5247__" hidden="1">#REF!</definedName>
    <definedName name="__APW_RESTORE_DATA5248__" hidden="1">#REF!</definedName>
    <definedName name="__APW_RESTORE_DATA5249__" hidden="1">#REF!</definedName>
    <definedName name="__APW_RESTORE_DATA525__" hidden="1">#REF!</definedName>
    <definedName name="__APW_RESTORE_DATA5250__" hidden="1">#REF!</definedName>
    <definedName name="__APW_RESTORE_DATA5251__" hidden="1">#REF!</definedName>
    <definedName name="__APW_RESTORE_DATA5252__" hidden="1">#REF!</definedName>
    <definedName name="__APW_RESTORE_DATA5253__" hidden="1">#REF!</definedName>
    <definedName name="__APW_RESTORE_DATA5254__" hidden="1">#REF!</definedName>
    <definedName name="__APW_RESTORE_DATA5255__" hidden="1">#REF!</definedName>
    <definedName name="__APW_RESTORE_DATA5256__" hidden="1">#REF!</definedName>
    <definedName name="__APW_RESTORE_DATA5257__" hidden="1">#REF!</definedName>
    <definedName name="__APW_RESTORE_DATA5258__" hidden="1">#REF!</definedName>
    <definedName name="__APW_RESTORE_DATA5259__" hidden="1">#REF!</definedName>
    <definedName name="__APW_RESTORE_DATA526__" hidden="1">#REF!</definedName>
    <definedName name="__APW_RESTORE_DATA5260__" hidden="1">#REF!</definedName>
    <definedName name="__APW_RESTORE_DATA5261__" hidden="1">#REF!</definedName>
    <definedName name="__APW_RESTORE_DATA5262__" hidden="1">#REF!</definedName>
    <definedName name="__APW_RESTORE_DATA5263__" hidden="1">#REF!</definedName>
    <definedName name="__APW_RESTORE_DATA5264__" hidden="1">#REF!</definedName>
    <definedName name="__APW_RESTORE_DATA5265__" hidden="1">#REF!</definedName>
    <definedName name="__APW_RESTORE_DATA5266__" hidden="1">#REF!</definedName>
    <definedName name="__APW_RESTORE_DATA5267__" hidden="1">#REF!</definedName>
    <definedName name="__APW_RESTORE_DATA5268__" hidden="1">#REF!</definedName>
    <definedName name="__APW_RESTORE_DATA5269__" hidden="1">#REF!</definedName>
    <definedName name="__APW_RESTORE_DATA527__" hidden="1">#REF!</definedName>
    <definedName name="__APW_RESTORE_DATA5270__" hidden="1">#REF!</definedName>
    <definedName name="__APW_RESTORE_DATA5271__" hidden="1">#REF!</definedName>
    <definedName name="__APW_RESTORE_DATA5272__" hidden="1">#REF!</definedName>
    <definedName name="__APW_RESTORE_DATA5273__" hidden="1">#REF!</definedName>
    <definedName name="__APW_RESTORE_DATA5274__" hidden="1">#REF!</definedName>
    <definedName name="__APW_RESTORE_DATA5275__" hidden="1">#REF!</definedName>
    <definedName name="__APW_RESTORE_DATA5276__" hidden="1">#REF!</definedName>
    <definedName name="__APW_RESTORE_DATA5277__" hidden="1">#REF!</definedName>
    <definedName name="__APW_RESTORE_DATA5278__" hidden="1">#REF!</definedName>
    <definedName name="__APW_RESTORE_DATA5279__" hidden="1">#REF!</definedName>
    <definedName name="__APW_RESTORE_DATA528__" hidden="1">#REF!</definedName>
    <definedName name="__APW_RESTORE_DATA5280__" hidden="1">#REF!</definedName>
    <definedName name="__APW_RESTORE_DATA5281__" hidden="1">#REF!</definedName>
    <definedName name="__APW_RESTORE_DATA5282__" hidden="1">#REF!</definedName>
    <definedName name="__APW_RESTORE_DATA5283__" hidden="1">#REF!</definedName>
    <definedName name="__APW_RESTORE_DATA5284__" hidden="1">#REF!</definedName>
    <definedName name="__APW_RESTORE_DATA5285__" hidden="1">#REF!</definedName>
    <definedName name="__APW_RESTORE_DATA5286__" hidden="1">#REF!</definedName>
    <definedName name="__APW_RESTORE_DATA5287__" hidden="1">#REF!</definedName>
    <definedName name="__APW_RESTORE_DATA5288__" hidden="1">#REF!</definedName>
    <definedName name="__APW_RESTORE_DATA5289__" hidden="1">#REF!</definedName>
    <definedName name="__APW_RESTORE_DATA529__" hidden="1">#REF!</definedName>
    <definedName name="__APW_RESTORE_DATA5290__" hidden="1">#REF!</definedName>
    <definedName name="__APW_RESTORE_DATA5291__" hidden="1">#REF!</definedName>
    <definedName name="__APW_RESTORE_DATA5292__" hidden="1">#REF!</definedName>
    <definedName name="__APW_RESTORE_DATA5293__" hidden="1">#REF!</definedName>
    <definedName name="__APW_RESTORE_DATA5294__" hidden="1">#REF!</definedName>
    <definedName name="__APW_RESTORE_DATA5295__" hidden="1">#REF!</definedName>
    <definedName name="__APW_RESTORE_DATA5296__" hidden="1">#REF!</definedName>
    <definedName name="__APW_RESTORE_DATA5297__" hidden="1">#REF!</definedName>
    <definedName name="__APW_RESTORE_DATA5298__" hidden="1">#REF!</definedName>
    <definedName name="__APW_RESTORE_DATA5299__" hidden="1">#REF!</definedName>
    <definedName name="__APW_RESTORE_DATA53__" hidden="1">#REF!</definedName>
    <definedName name="__APW_RESTORE_DATA530__" hidden="1">#REF!</definedName>
    <definedName name="__APW_RESTORE_DATA5300__" hidden="1">#REF!</definedName>
    <definedName name="__APW_RESTORE_DATA5301__" hidden="1">#REF!</definedName>
    <definedName name="__APW_RESTORE_DATA5302__" hidden="1">#REF!</definedName>
    <definedName name="__APW_RESTORE_DATA5303__" hidden="1">#REF!</definedName>
    <definedName name="__APW_RESTORE_DATA5304__" hidden="1">#REF!</definedName>
    <definedName name="__APW_RESTORE_DATA5305__" hidden="1">#REF!</definedName>
    <definedName name="__APW_RESTORE_DATA5306__" hidden="1">#REF!</definedName>
    <definedName name="__APW_RESTORE_DATA5307__" hidden="1">#REF!</definedName>
    <definedName name="__APW_RESTORE_DATA5308__" hidden="1">#REF!</definedName>
    <definedName name="__APW_RESTORE_DATA5309__" hidden="1">#REF!</definedName>
    <definedName name="__APW_RESTORE_DATA531__" hidden="1">#REF!</definedName>
    <definedName name="__APW_RESTORE_DATA5310__" hidden="1">#REF!</definedName>
    <definedName name="__APW_RESTORE_DATA5311__" hidden="1">#REF!</definedName>
    <definedName name="__APW_RESTORE_DATA5312__" hidden="1">#REF!</definedName>
    <definedName name="__APW_RESTORE_DATA5313__" hidden="1">#REF!</definedName>
    <definedName name="__APW_RESTORE_DATA5314__" hidden="1">#REF!</definedName>
    <definedName name="__APW_RESTORE_DATA5315__" hidden="1">#REF!</definedName>
    <definedName name="__APW_RESTORE_DATA5316__" hidden="1">#REF!</definedName>
    <definedName name="__APW_RESTORE_DATA5317__" hidden="1">#REF!</definedName>
    <definedName name="__APW_RESTORE_DATA5318__" hidden="1">#REF!</definedName>
    <definedName name="__APW_RESTORE_DATA5319__" hidden="1">#REF!</definedName>
    <definedName name="__APW_RESTORE_DATA532__" hidden="1">#REF!</definedName>
    <definedName name="__APW_RESTORE_DATA5320__" hidden="1">#REF!</definedName>
    <definedName name="__APW_RESTORE_DATA5321__" hidden="1">#REF!</definedName>
    <definedName name="__APW_RESTORE_DATA5322__" hidden="1">#REF!</definedName>
    <definedName name="__APW_RESTORE_DATA5323__" hidden="1">#REF!</definedName>
    <definedName name="__APW_RESTORE_DATA5324__" hidden="1">#REF!</definedName>
    <definedName name="__APW_RESTORE_DATA5325__" hidden="1">#REF!</definedName>
    <definedName name="__APW_RESTORE_DATA5326__" hidden="1">#REF!</definedName>
    <definedName name="__APW_RESTORE_DATA5327__" hidden="1">#REF!</definedName>
    <definedName name="__APW_RESTORE_DATA5328__" hidden="1">#REF!</definedName>
    <definedName name="__APW_RESTORE_DATA5329__" hidden="1">#REF!</definedName>
    <definedName name="__APW_RESTORE_DATA533__" hidden="1">#REF!</definedName>
    <definedName name="__APW_RESTORE_DATA5330__" hidden="1">#REF!</definedName>
    <definedName name="__APW_RESTORE_DATA5331__" hidden="1">#REF!</definedName>
    <definedName name="__APW_RESTORE_DATA5332__" hidden="1">#REF!</definedName>
    <definedName name="__APW_RESTORE_DATA5333__" hidden="1">#REF!</definedName>
    <definedName name="__APW_RESTORE_DATA5334__" hidden="1">#REF!</definedName>
    <definedName name="__APW_RESTORE_DATA5335__" hidden="1">#REF!</definedName>
    <definedName name="__APW_RESTORE_DATA5336__" hidden="1">#REF!</definedName>
    <definedName name="__APW_RESTORE_DATA5337__" hidden="1">#REF!</definedName>
    <definedName name="__APW_RESTORE_DATA5338__" hidden="1">#REF!</definedName>
    <definedName name="__APW_RESTORE_DATA5339__" hidden="1">#REF!</definedName>
    <definedName name="__APW_RESTORE_DATA534__" hidden="1">#REF!</definedName>
    <definedName name="__APW_RESTORE_DATA5340__" hidden="1">#REF!</definedName>
    <definedName name="__APW_RESTORE_DATA5341__" hidden="1">#REF!</definedName>
    <definedName name="__APW_RESTORE_DATA5342__" hidden="1">#REF!</definedName>
    <definedName name="__APW_RESTORE_DATA5343__" hidden="1">#REF!</definedName>
    <definedName name="__APW_RESTORE_DATA5344__" hidden="1">#REF!</definedName>
    <definedName name="__APW_RESTORE_DATA5345__" hidden="1">#REF!</definedName>
    <definedName name="__APW_RESTORE_DATA5346__" hidden="1">#REF!</definedName>
    <definedName name="__APW_RESTORE_DATA5347__" hidden="1">#REF!</definedName>
    <definedName name="__APW_RESTORE_DATA5348__" hidden="1">#REF!</definedName>
    <definedName name="__APW_RESTORE_DATA5349__" hidden="1">#REF!</definedName>
    <definedName name="__APW_RESTORE_DATA535__" hidden="1">#REF!</definedName>
    <definedName name="__APW_RESTORE_DATA5350__" hidden="1">#REF!</definedName>
    <definedName name="__APW_RESTORE_DATA5351__" hidden="1">#REF!</definedName>
    <definedName name="__APW_RESTORE_DATA5352__" hidden="1">#REF!</definedName>
    <definedName name="__APW_RESTORE_DATA5353__" hidden="1">#REF!</definedName>
    <definedName name="__APW_RESTORE_DATA5354__" hidden="1">#REF!</definedName>
    <definedName name="__APW_RESTORE_DATA5355__" hidden="1">#REF!</definedName>
    <definedName name="__APW_RESTORE_DATA5356__" hidden="1">#REF!</definedName>
    <definedName name="__APW_RESTORE_DATA5357__" hidden="1">#REF!</definedName>
    <definedName name="__APW_RESTORE_DATA5358__" hidden="1">#REF!</definedName>
    <definedName name="__APW_RESTORE_DATA5359__" hidden="1">#REF!</definedName>
    <definedName name="__APW_RESTORE_DATA536__" hidden="1">#REF!</definedName>
    <definedName name="__APW_RESTORE_DATA5360__" hidden="1">#REF!</definedName>
    <definedName name="__APW_RESTORE_DATA5361__" hidden="1">#REF!</definedName>
    <definedName name="__APW_RESTORE_DATA5362__" hidden="1">#REF!</definedName>
    <definedName name="__APW_RESTORE_DATA5363__" hidden="1">#REF!</definedName>
    <definedName name="__APW_RESTORE_DATA5364__" hidden="1">#REF!</definedName>
    <definedName name="__APW_RESTORE_DATA5365__" hidden="1">#REF!</definedName>
    <definedName name="__APW_RESTORE_DATA5366__" hidden="1">#REF!</definedName>
    <definedName name="__APW_RESTORE_DATA5367__" hidden="1">#REF!</definedName>
    <definedName name="__APW_RESTORE_DATA5368__" hidden="1">#REF!</definedName>
    <definedName name="__APW_RESTORE_DATA5369__" hidden="1">#REF!</definedName>
    <definedName name="__APW_RESTORE_DATA537__" hidden="1">#REF!</definedName>
    <definedName name="__APW_RESTORE_DATA5370__" hidden="1">#REF!</definedName>
    <definedName name="__APW_RESTORE_DATA5371__" hidden="1">#REF!</definedName>
    <definedName name="__APW_RESTORE_DATA5372__" hidden="1">#REF!</definedName>
    <definedName name="__APW_RESTORE_DATA5373__" hidden="1">#REF!</definedName>
    <definedName name="__APW_RESTORE_DATA5374__" hidden="1">#REF!</definedName>
    <definedName name="__APW_RESTORE_DATA5375__" hidden="1">#REF!</definedName>
    <definedName name="__APW_RESTORE_DATA5376__" hidden="1">#REF!</definedName>
    <definedName name="__APW_RESTORE_DATA5377__" hidden="1">#REF!</definedName>
    <definedName name="__APW_RESTORE_DATA5378__" hidden="1">#REF!</definedName>
    <definedName name="__APW_RESTORE_DATA5379__" hidden="1">#REF!</definedName>
    <definedName name="__APW_RESTORE_DATA538__" hidden="1">#REF!</definedName>
    <definedName name="__APW_RESTORE_DATA5380__" hidden="1">#REF!</definedName>
    <definedName name="__APW_RESTORE_DATA5381__" hidden="1">#REF!</definedName>
    <definedName name="__APW_RESTORE_DATA5382__" hidden="1">#REF!</definedName>
    <definedName name="__APW_RESTORE_DATA5383__" hidden="1">#REF!</definedName>
    <definedName name="__APW_RESTORE_DATA5384__" hidden="1">#REF!</definedName>
    <definedName name="__APW_RESTORE_DATA5385__" hidden="1">#REF!</definedName>
    <definedName name="__APW_RESTORE_DATA5386__" hidden="1">#REF!</definedName>
    <definedName name="__APW_RESTORE_DATA5387__" hidden="1">#REF!</definedName>
    <definedName name="__APW_RESTORE_DATA5388__" hidden="1">#REF!</definedName>
    <definedName name="__APW_RESTORE_DATA5389__" hidden="1">#REF!</definedName>
    <definedName name="__APW_RESTORE_DATA539__" hidden="1">#REF!</definedName>
    <definedName name="__APW_RESTORE_DATA5390__" hidden="1">#REF!</definedName>
    <definedName name="__APW_RESTORE_DATA5391__" hidden="1">#REF!</definedName>
    <definedName name="__APW_RESTORE_DATA5392__" hidden="1">#REF!</definedName>
    <definedName name="__APW_RESTORE_DATA5393__" hidden="1">#REF!</definedName>
    <definedName name="__APW_RESTORE_DATA5394__" hidden="1">#REF!</definedName>
    <definedName name="__APW_RESTORE_DATA5395__" hidden="1">#REF!</definedName>
    <definedName name="__APW_RESTORE_DATA5396__" hidden="1">#REF!</definedName>
    <definedName name="__APW_RESTORE_DATA5397__" hidden="1">#REF!</definedName>
    <definedName name="__APW_RESTORE_DATA5398__" hidden="1">#REF!</definedName>
    <definedName name="__APW_RESTORE_DATA5399__" hidden="1">#REF!</definedName>
    <definedName name="__APW_RESTORE_DATA54__" hidden="1">#REF!</definedName>
    <definedName name="__APW_RESTORE_DATA540__" hidden="1">#REF!</definedName>
    <definedName name="__APW_RESTORE_DATA5400__" hidden="1">#REF!</definedName>
    <definedName name="__APW_RESTORE_DATA5401__" hidden="1">#REF!</definedName>
    <definedName name="__APW_RESTORE_DATA5402__" hidden="1">#REF!</definedName>
    <definedName name="__APW_RESTORE_DATA5403__" hidden="1">#REF!</definedName>
    <definedName name="__APW_RESTORE_DATA5404__" hidden="1">#REF!</definedName>
    <definedName name="__APW_RESTORE_DATA5405__" hidden="1">#REF!</definedName>
    <definedName name="__APW_RESTORE_DATA5406__" hidden="1">#REF!</definedName>
    <definedName name="__APW_RESTORE_DATA5407__" hidden="1">#REF!</definedName>
    <definedName name="__APW_RESTORE_DATA5408__" hidden="1">#REF!</definedName>
    <definedName name="__APW_RESTORE_DATA5409__" hidden="1">#REF!</definedName>
    <definedName name="__APW_RESTORE_DATA541__" hidden="1">#REF!</definedName>
    <definedName name="__APW_RESTORE_DATA5410__" hidden="1">#REF!</definedName>
    <definedName name="__APW_RESTORE_DATA5411__" hidden="1">#REF!</definedName>
    <definedName name="__APW_RESTORE_DATA5412__" hidden="1">#REF!</definedName>
    <definedName name="__APW_RESTORE_DATA5413__" hidden="1">#REF!</definedName>
    <definedName name="__APW_RESTORE_DATA5414__" hidden="1">#REF!</definedName>
    <definedName name="__APW_RESTORE_DATA5415__" hidden="1">#REF!</definedName>
    <definedName name="__APW_RESTORE_DATA5416__" hidden="1">#REF!</definedName>
    <definedName name="__APW_RESTORE_DATA5417__" hidden="1">#REF!</definedName>
    <definedName name="__APW_RESTORE_DATA5418__" hidden="1">#REF!</definedName>
    <definedName name="__APW_RESTORE_DATA5419__" hidden="1">#REF!</definedName>
    <definedName name="__APW_RESTORE_DATA542__" hidden="1">#REF!</definedName>
    <definedName name="__APW_RESTORE_DATA5420__" hidden="1">#REF!</definedName>
    <definedName name="__APW_RESTORE_DATA5421__" hidden="1">#REF!</definedName>
    <definedName name="__APW_RESTORE_DATA5422__" hidden="1">#REF!</definedName>
    <definedName name="__APW_RESTORE_DATA5423__" hidden="1">#REF!</definedName>
    <definedName name="__APW_RESTORE_DATA5424__" hidden="1">#REF!</definedName>
    <definedName name="__APW_RESTORE_DATA5425__" hidden="1">#REF!</definedName>
    <definedName name="__APW_RESTORE_DATA5426__" hidden="1">#REF!</definedName>
    <definedName name="__APW_RESTORE_DATA5427__" hidden="1">#REF!</definedName>
    <definedName name="__APW_RESTORE_DATA5428__" hidden="1">#REF!</definedName>
    <definedName name="__APW_RESTORE_DATA5429__" hidden="1">#REF!</definedName>
    <definedName name="__APW_RESTORE_DATA543__" hidden="1">#REF!</definedName>
    <definedName name="__APW_RESTORE_DATA5430__" hidden="1">#REF!</definedName>
    <definedName name="__APW_RESTORE_DATA5431__" hidden="1">#REF!</definedName>
    <definedName name="__APW_RESTORE_DATA5432__" hidden="1">#REF!</definedName>
    <definedName name="__APW_RESTORE_DATA5433__" hidden="1">#REF!</definedName>
    <definedName name="__APW_RESTORE_DATA5434__" hidden="1">#REF!</definedName>
    <definedName name="__APW_RESTORE_DATA5435__" hidden="1">#REF!</definedName>
    <definedName name="__APW_RESTORE_DATA5436__" hidden="1">#REF!</definedName>
    <definedName name="__APW_RESTORE_DATA5437__" hidden="1">#REF!</definedName>
    <definedName name="__APW_RESTORE_DATA5438__" hidden="1">#REF!</definedName>
    <definedName name="__APW_RESTORE_DATA5439__" hidden="1">#REF!</definedName>
    <definedName name="__APW_RESTORE_DATA544__" hidden="1">#REF!</definedName>
    <definedName name="__APW_RESTORE_DATA5440__" hidden="1">#REF!</definedName>
    <definedName name="__APW_RESTORE_DATA5441__" hidden="1">#REF!</definedName>
    <definedName name="__APW_RESTORE_DATA5442__" hidden="1">#REF!</definedName>
    <definedName name="__APW_RESTORE_DATA5443__" hidden="1">#REF!</definedName>
    <definedName name="__APW_RESTORE_DATA5444__" hidden="1">#REF!</definedName>
    <definedName name="__APW_RESTORE_DATA5445__" hidden="1">#REF!</definedName>
    <definedName name="__APW_RESTORE_DATA5446__" hidden="1">#REF!</definedName>
    <definedName name="__APW_RESTORE_DATA5447__" hidden="1">#REF!</definedName>
    <definedName name="__APW_RESTORE_DATA5448__" hidden="1">#REF!</definedName>
    <definedName name="__APW_RESTORE_DATA5449__" hidden="1">#REF!</definedName>
    <definedName name="__APW_RESTORE_DATA545__" hidden="1">#REF!</definedName>
    <definedName name="__APW_RESTORE_DATA5450__" hidden="1">#REF!</definedName>
    <definedName name="__APW_RESTORE_DATA5451__" hidden="1">#REF!</definedName>
    <definedName name="__APW_RESTORE_DATA5452__" hidden="1">#REF!</definedName>
    <definedName name="__APW_RESTORE_DATA5453__" hidden="1">#REF!</definedName>
    <definedName name="__APW_RESTORE_DATA5454__" hidden="1">#REF!</definedName>
    <definedName name="__APW_RESTORE_DATA5455__" hidden="1">#REF!</definedName>
    <definedName name="__APW_RESTORE_DATA5456__" hidden="1">#REF!</definedName>
    <definedName name="__APW_RESTORE_DATA5457__" hidden="1">#REF!</definedName>
    <definedName name="__APW_RESTORE_DATA5458__" hidden="1">#REF!</definedName>
    <definedName name="__APW_RESTORE_DATA5459__" hidden="1">#REF!</definedName>
    <definedName name="__APW_RESTORE_DATA546__" hidden="1">#REF!</definedName>
    <definedName name="__APW_RESTORE_DATA5460__" hidden="1">#REF!</definedName>
    <definedName name="__APW_RESTORE_DATA5461__" hidden="1">#REF!</definedName>
    <definedName name="__APW_RESTORE_DATA5462__" hidden="1">#REF!</definedName>
    <definedName name="__APW_RESTORE_DATA5463__" hidden="1">#REF!</definedName>
    <definedName name="__APW_RESTORE_DATA5464__" hidden="1">#REF!</definedName>
    <definedName name="__APW_RESTORE_DATA5465__" hidden="1">#REF!</definedName>
    <definedName name="__APW_RESTORE_DATA5466__" hidden="1">#REF!</definedName>
    <definedName name="__APW_RESTORE_DATA5467__" hidden="1">#REF!</definedName>
    <definedName name="__APW_RESTORE_DATA5468__" hidden="1">#REF!</definedName>
    <definedName name="__APW_RESTORE_DATA5469__" hidden="1">#REF!</definedName>
    <definedName name="__APW_RESTORE_DATA547__" hidden="1">#REF!</definedName>
    <definedName name="__APW_RESTORE_DATA5470__" hidden="1">#REF!</definedName>
    <definedName name="__APW_RESTORE_DATA5471__" hidden="1">#REF!</definedName>
    <definedName name="__APW_RESTORE_DATA5472__" hidden="1">#REF!</definedName>
    <definedName name="__APW_RESTORE_DATA5473__" hidden="1">#REF!</definedName>
    <definedName name="__APW_RESTORE_DATA5474__" hidden="1">#REF!</definedName>
    <definedName name="__APW_RESTORE_DATA5475__" hidden="1">#REF!</definedName>
    <definedName name="__APW_RESTORE_DATA5476__" hidden="1">#REF!</definedName>
    <definedName name="__APW_RESTORE_DATA5477__" hidden="1">#REF!</definedName>
    <definedName name="__APW_RESTORE_DATA5478__" hidden="1">#REF!</definedName>
    <definedName name="__APW_RESTORE_DATA5479__" hidden="1">#REF!</definedName>
    <definedName name="__APW_RESTORE_DATA548__" hidden="1">#REF!</definedName>
    <definedName name="__APW_RESTORE_DATA5480__" hidden="1">#REF!</definedName>
    <definedName name="__APW_RESTORE_DATA5481__" hidden="1">#REF!</definedName>
    <definedName name="__APW_RESTORE_DATA5482__" hidden="1">#REF!</definedName>
    <definedName name="__APW_RESTORE_DATA5483__" hidden="1">#REF!</definedName>
    <definedName name="__APW_RESTORE_DATA5484__" hidden="1">#REF!</definedName>
    <definedName name="__APW_RESTORE_DATA5485__" hidden="1">#REF!</definedName>
    <definedName name="__APW_RESTORE_DATA5486__" hidden="1">#REF!</definedName>
    <definedName name="__APW_RESTORE_DATA5487__" hidden="1">#REF!</definedName>
    <definedName name="__APW_RESTORE_DATA5488__" hidden="1">#REF!</definedName>
    <definedName name="__APW_RESTORE_DATA5489__" hidden="1">#REF!</definedName>
    <definedName name="__APW_RESTORE_DATA549__" hidden="1">#REF!</definedName>
    <definedName name="__APW_RESTORE_DATA5490__" hidden="1">#REF!</definedName>
    <definedName name="__APW_RESTORE_DATA5491__" hidden="1">#REF!</definedName>
    <definedName name="__APW_RESTORE_DATA5492__" hidden="1">#REF!</definedName>
    <definedName name="__APW_RESTORE_DATA5493__" hidden="1">#REF!</definedName>
    <definedName name="__APW_RESTORE_DATA5494__" hidden="1">#REF!</definedName>
    <definedName name="__APW_RESTORE_DATA5495__" hidden="1">#REF!</definedName>
    <definedName name="__APW_RESTORE_DATA5496__" hidden="1">#REF!</definedName>
    <definedName name="__APW_RESTORE_DATA5497__" hidden="1">#REF!</definedName>
    <definedName name="__APW_RESTORE_DATA5498__" hidden="1">#REF!</definedName>
    <definedName name="__APW_RESTORE_DATA5499__" hidden="1">#REF!</definedName>
    <definedName name="__APW_RESTORE_DATA55__" hidden="1">#REF!</definedName>
    <definedName name="__APW_RESTORE_DATA550__" hidden="1">#REF!</definedName>
    <definedName name="__APW_RESTORE_DATA5500__" hidden="1">#REF!</definedName>
    <definedName name="__APW_RESTORE_DATA5501__" hidden="1">#REF!</definedName>
    <definedName name="__APW_RESTORE_DATA5502__" hidden="1">#REF!</definedName>
    <definedName name="__APW_RESTORE_DATA5503__" hidden="1">#REF!</definedName>
    <definedName name="__APW_RESTORE_DATA5504__" hidden="1">#REF!</definedName>
    <definedName name="__APW_RESTORE_DATA5505__" hidden="1">#REF!</definedName>
    <definedName name="__APW_RESTORE_DATA5506__" hidden="1">#REF!</definedName>
    <definedName name="__APW_RESTORE_DATA5507__" hidden="1">#REF!</definedName>
    <definedName name="__APW_RESTORE_DATA5508__" hidden="1">#REF!</definedName>
    <definedName name="__APW_RESTORE_DATA5509__" hidden="1">#REF!</definedName>
    <definedName name="__APW_RESTORE_DATA551__" hidden="1">#REF!</definedName>
    <definedName name="__APW_RESTORE_DATA5510__" hidden="1">#REF!</definedName>
    <definedName name="__APW_RESTORE_DATA5511__" hidden="1">#REF!</definedName>
    <definedName name="__APW_RESTORE_DATA5512__" hidden="1">#REF!</definedName>
    <definedName name="__APW_RESTORE_DATA5513__" hidden="1">#REF!</definedName>
    <definedName name="__APW_RESTORE_DATA5514__" hidden="1">#REF!</definedName>
    <definedName name="__APW_RESTORE_DATA5515__" hidden="1">#REF!</definedName>
    <definedName name="__APW_RESTORE_DATA5516__" hidden="1">#REF!</definedName>
    <definedName name="__APW_RESTORE_DATA5517__" hidden="1">#REF!</definedName>
    <definedName name="__APW_RESTORE_DATA5518__" hidden="1">#REF!</definedName>
    <definedName name="__APW_RESTORE_DATA5519__" hidden="1">#REF!</definedName>
    <definedName name="__APW_RESTORE_DATA552__" hidden="1">#REF!</definedName>
    <definedName name="__APW_RESTORE_DATA5520__" hidden="1">#REF!</definedName>
    <definedName name="__APW_RESTORE_DATA5521__" hidden="1">#REF!</definedName>
    <definedName name="__APW_RESTORE_DATA5522__" hidden="1">#REF!</definedName>
    <definedName name="__APW_RESTORE_DATA5523__" hidden="1">#REF!</definedName>
    <definedName name="__APW_RESTORE_DATA5524__" hidden="1">#REF!</definedName>
    <definedName name="__APW_RESTORE_DATA5525__" hidden="1">#REF!</definedName>
    <definedName name="__APW_RESTORE_DATA5526__" hidden="1">#REF!</definedName>
    <definedName name="__APW_RESTORE_DATA5527__" hidden="1">#REF!</definedName>
    <definedName name="__APW_RESTORE_DATA5528__" hidden="1">#REF!</definedName>
    <definedName name="__APW_RESTORE_DATA5529__" hidden="1">#REF!</definedName>
    <definedName name="__APW_RESTORE_DATA553__" hidden="1">#REF!</definedName>
    <definedName name="__APW_RESTORE_DATA5530__" hidden="1">#REF!</definedName>
    <definedName name="__APW_RESTORE_DATA5531__" hidden="1">#REF!</definedName>
    <definedName name="__APW_RESTORE_DATA5532__" hidden="1">#REF!</definedName>
    <definedName name="__APW_RESTORE_DATA5533__" hidden="1">#REF!</definedName>
    <definedName name="__APW_RESTORE_DATA5534__" hidden="1">#REF!</definedName>
    <definedName name="__APW_RESTORE_DATA5535__" hidden="1">#REF!</definedName>
    <definedName name="__APW_RESTORE_DATA5536__" hidden="1">#REF!</definedName>
    <definedName name="__APW_RESTORE_DATA5537__" hidden="1">#REF!</definedName>
    <definedName name="__APW_RESTORE_DATA5538__" hidden="1">#REF!</definedName>
    <definedName name="__APW_RESTORE_DATA5539__" hidden="1">#REF!</definedName>
    <definedName name="__APW_RESTORE_DATA554__" hidden="1">#REF!</definedName>
    <definedName name="__APW_RESTORE_DATA5540__" hidden="1">#REF!</definedName>
    <definedName name="__APW_RESTORE_DATA5541__" hidden="1">#REF!</definedName>
    <definedName name="__APW_RESTORE_DATA5542__" hidden="1">#REF!</definedName>
    <definedName name="__APW_RESTORE_DATA5543__" hidden="1">#REF!</definedName>
    <definedName name="__APW_RESTORE_DATA5544__" hidden="1">#REF!</definedName>
    <definedName name="__APW_RESTORE_DATA5545__" hidden="1">#REF!</definedName>
    <definedName name="__APW_RESTORE_DATA5546__" hidden="1">#REF!</definedName>
    <definedName name="__APW_RESTORE_DATA5547__" hidden="1">#REF!</definedName>
    <definedName name="__APW_RESTORE_DATA5548__" hidden="1">#REF!</definedName>
    <definedName name="__APW_RESTORE_DATA5549__" hidden="1">#REF!</definedName>
    <definedName name="__APW_RESTORE_DATA555__" hidden="1">#REF!</definedName>
    <definedName name="__APW_RESTORE_DATA5550__" hidden="1">#REF!</definedName>
    <definedName name="__APW_RESTORE_DATA5551__" hidden="1">#REF!</definedName>
    <definedName name="__APW_RESTORE_DATA5552__" hidden="1">#REF!</definedName>
    <definedName name="__APW_RESTORE_DATA5553__" hidden="1">#REF!</definedName>
    <definedName name="__APW_RESTORE_DATA5554__" hidden="1">#REF!</definedName>
    <definedName name="__APW_RESTORE_DATA5555__" hidden="1">#REF!</definedName>
    <definedName name="__APW_RESTORE_DATA5556__" hidden="1">#REF!</definedName>
    <definedName name="__APW_RESTORE_DATA5557__" hidden="1">#REF!</definedName>
    <definedName name="__APW_RESTORE_DATA5558__" hidden="1">#REF!</definedName>
    <definedName name="__APW_RESTORE_DATA5559__" hidden="1">#REF!</definedName>
    <definedName name="__APW_RESTORE_DATA556__" hidden="1">#REF!</definedName>
    <definedName name="__APW_RESTORE_DATA5560__" hidden="1">#REF!</definedName>
    <definedName name="__APW_RESTORE_DATA5561__" hidden="1">#REF!</definedName>
    <definedName name="__APW_RESTORE_DATA5562__" hidden="1">#REF!</definedName>
    <definedName name="__APW_RESTORE_DATA5563__" hidden="1">#REF!</definedName>
    <definedName name="__APW_RESTORE_DATA5564__" hidden="1">#REF!</definedName>
    <definedName name="__APW_RESTORE_DATA5565__" hidden="1">#REF!</definedName>
    <definedName name="__APW_RESTORE_DATA5566__" hidden="1">#REF!</definedName>
    <definedName name="__APW_RESTORE_DATA5567__" hidden="1">#REF!</definedName>
    <definedName name="__APW_RESTORE_DATA5568__" hidden="1">#REF!</definedName>
    <definedName name="__APW_RESTORE_DATA5569__" hidden="1">#REF!</definedName>
    <definedName name="__APW_RESTORE_DATA557__" hidden="1">#REF!</definedName>
    <definedName name="__APW_RESTORE_DATA5570__" hidden="1">#REF!</definedName>
    <definedName name="__APW_RESTORE_DATA5571__" hidden="1">#REF!</definedName>
    <definedName name="__APW_RESTORE_DATA5572__" hidden="1">#REF!</definedName>
    <definedName name="__APW_RESTORE_DATA5573__" hidden="1">#REF!</definedName>
    <definedName name="__APW_RESTORE_DATA5574__" hidden="1">#REF!</definedName>
    <definedName name="__APW_RESTORE_DATA5575__" hidden="1">#REF!</definedName>
    <definedName name="__APW_RESTORE_DATA5576__" hidden="1">#REF!</definedName>
    <definedName name="__APW_RESTORE_DATA5577__" hidden="1">#REF!</definedName>
    <definedName name="__APW_RESTORE_DATA5578__" hidden="1">#REF!</definedName>
    <definedName name="__APW_RESTORE_DATA5579__" hidden="1">#REF!</definedName>
    <definedName name="__APW_RESTORE_DATA558__" hidden="1">#REF!</definedName>
    <definedName name="__APW_RESTORE_DATA5580__" hidden="1">#REF!</definedName>
    <definedName name="__APW_RESTORE_DATA5581__" hidden="1">#REF!</definedName>
    <definedName name="__APW_RESTORE_DATA5582__" hidden="1">#REF!</definedName>
    <definedName name="__APW_RESTORE_DATA5583__" hidden="1">#REF!</definedName>
    <definedName name="__APW_RESTORE_DATA5584__" hidden="1">#REF!</definedName>
    <definedName name="__APW_RESTORE_DATA5585__" hidden="1">#REF!</definedName>
    <definedName name="__APW_RESTORE_DATA5586__" hidden="1">#REF!</definedName>
    <definedName name="__APW_RESTORE_DATA5587__" hidden="1">#REF!</definedName>
    <definedName name="__APW_RESTORE_DATA5588__" hidden="1">#REF!</definedName>
    <definedName name="__APW_RESTORE_DATA5589__" hidden="1">#REF!</definedName>
    <definedName name="__APW_RESTORE_DATA559__" hidden="1">#REF!</definedName>
    <definedName name="__APW_RESTORE_DATA5590__" hidden="1">#REF!</definedName>
    <definedName name="__APW_RESTORE_DATA5591__" hidden="1">#REF!</definedName>
    <definedName name="__APW_RESTORE_DATA5592__" hidden="1">#REF!</definedName>
    <definedName name="__APW_RESTORE_DATA5593__" hidden="1">#REF!</definedName>
    <definedName name="__APW_RESTORE_DATA5594__" hidden="1">#REF!</definedName>
    <definedName name="__APW_RESTORE_DATA5595__" hidden="1">#REF!</definedName>
    <definedName name="__APW_RESTORE_DATA5596__" hidden="1">#REF!</definedName>
    <definedName name="__APW_RESTORE_DATA5597__" hidden="1">#REF!</definedName>
    <definedName name="__APW_RESTORE_DATA5598__" hidden="1">#REF!</definedName>
    <definedName name="__APW_RESTORE_DATA5599__" hidden="1">#REF!</definedName>
    <definedName name="__APW_RESTORE_DATA56__" hidden="1">#REF!</definedName>
    <definedName name="__APW_RESTORE_DATA560__" hidden="1">#REF!</definedName>
    <definedName name="__APW_RESTORE_DATA5600__" hidden="1">#REF!</definedName>
    <definedName name="__APW_RESTORE_DATA5601__" hidden="1">#REF!</definedName>
    <definedName name="__APW_RESTORE_DATA5602__" hidden="1">#REF!</definedName>
    <definedName name="__APW_RESTORE_DATA5603__" hidden="1">#REF!</definedName>
    <definedName name="__APW_RESTORE_DATA5604__" hidden="1">#REF!</definedName>
    <definedName name="__APW_RESTORE_DATA5605__" hidden="1">#REF!</definedName>
    <definedName name="__APW_RESTORE_DATA5606__" hidden="1">#REF!</definedName>
    <definedName name="__APW_RESTORE_DATA5607__" hidden="1">#REF!</definedName>
    <definedName name="__APW_RESTORE_DATA5608__" hidden="1">#REF!</definedName>
    <definedName name="__APW_RESTORE_DATA5609__" hidden="1">#REF!</definedName>
    <definedName name="__APW_RESTORE_DATA561__" hidden="1">#REF!</definedName>
    <definedName name="__APW_RESTORE_DATA5610__" hidden="1">#REF!</definedName>
    <definedName name="__APW_RESTORE_DATA5611__" hidden="1">#REF!</definedName>
    <definedName name="__APW_RESTORE_DATA5612__" hidden="1">#REF!</definedName>
    <definedName name="__APW_RESTORE_DATA5613__" hidden="1">#REF!</definedName>
    <definedName name="__APW_RESTORE_DATA5614__" hidden="1">#REF!</definedName>
    <definedName name="__APW_RESTORE_DATA5615__" hidden="1">#REF!</definedName>
    <definedName name="__APW_RESTORE_DATA5616__" hidden="1">#REF!</definedName>
    <definedName name="__APW_RESTORE_DATA5617__" hidden="1">#REF!</definedName>
    <definedName name="__APW_RESTORE_DATA5618__" hidden="1">#REF!</definedName>
    <definedName name="__APW_RESTORE_DATA5619__" hidden="1">#REF!</definedName>
    <definedName name="__APW_RESTORE_DATA562__" hidden="1">#REF!</definedName>
    <definedName name="__APW_RESTORE_DATA5620__" hidden="1">#REF!</definedName>
    <definedName name="__APW_RESTORE_DATA5621__" hidden="1">#REF!</definedName>
    <definedName name="__APW_RESTORE_DATA5622__" hidden="1">#REF!</definedName>
    <definedName name="__APW_RESTORE_DATA5623__" hidden="1">#REF!</definedName>
    <definedName name="__APW_RESTORE_DATA5624__" hidden="1">#REF!</definedName>
    <definedName name="__APW_RESTORE_DATA5625__" hidden="1">#REF!</definedName>
    <definedName name="__APW_RESTORE_DATA5626__" hidden="1">#REF!</definedName>
    <definedName name="__APW_RESTORE_DATA5627__" hidden="1">#REF!</definedName>
    <definedName name="__APW_RESTORE_DATA5628__" hidden="1">#REF!</definedName>
    <definedName name="__APW_RESTORE_DATA5629__" hidden="1">#REF!</definedName>
    <definedName name="__APW_RESTORE_DATA563__" hidden="1">#REF!</definedName>
    <definedName name="__APW_RESTORE_DATA5630__" hidden="1">#REF!</definedName>
    <definedName name="__APW_RESTORE_DATA5631__" hidden="1">#REF!</definedName>
    <definedName name="__APW_RESTORE_DATA5632__" hidden="1">#REF!</definedName>
    <definedName name="__APW_RESTORE_DATA5633__" hidden="1">#REF!</definedName>
    <definedName name="__APW_RESTORE_DATA5634__" hidden="1">#REF!</definedName>
    <definedName name="__APW_RESTORE_DATA5635__" hidden="1">#REF!</definedName>
    <definedName name="__APW_RESTORE_DATA5636__" hidden="1">#REF!</definedName>
    <definedName name="__APW_RESTORE_DATA5637__" hidden="1">#REF!</definedName>
    <definedName name="__APW_RESTORE_DATA5638__" hidden="1">#REF!</definedName>
    <definedName name="__APW_RESTORE_DATA5639__" hidden="1">#REF!</definedName>
    <definedName name="__APW_RESTORE_DATA564__" hidden="1">#REF!</definedName>
    <definedName name="__APW_RESTORE_DATA5640__" hidden="1">#REF!</definedName>
    <definedName name="__APW_RESTORE_DATA5641__" hidden="1">#REF!</definedName>
    <definedName name="__APW_RESTORE_DATA5642__" hidden="1">#REF!</definedName>
    <definedName name="__APW_RESTORE_DATA5643__" hidden="1">#REF!</definedName>
    <definedName name="__APW_RESTORE_DATA5644__" hidden="1">#REF!</definedName>
    <definedName name="__APW_RESTORE_DATA5645__" hidden="1">#REF!</definedName>
    <definedName name="__APW_RESTORE_DATA5646__" hidden="1">#REF!</definedName>
    <definedName name="__APW_RESTORE_DATA5647__" hidden="1">#REF!</definedName>
    <definedName name="__APW_RESTORE_DATA5648__" hidden="1">#REF!</definedName>
    <definedName name="__APW_RESTORE_DATA5649__" hidden="1">#REF!</definedName>
    <definedName name="__APW_RESTORE_DATA565__" hidden="1">#REF!</definedName>
    <definedName name="__APW_RESTORE_DATA5650__" hidden="1">#REF!</definedName>
    <definedName name="__APW_RESTORE_DATA5651__" hidden="1">#REF!</definedName>
    <definedName name="__APW_RESTORE_DATA5652__" hidden="1">#REF!</definedName>
    <definedName name="__APW_RESTORE_DATA5653__" hidden="1">#REF!</definedName>
    <definedName name="__APW_RESTORE_DATA5654__" hidden="1">#REF!</definedName>
    <definedName name="__APW_RESTORE_DATA5655__" hidden="1">#REF!</definedName>
    <definedName name="__APW_RESTORE_DATA5656__" hidden="1">#REF!</definedName>
    <definedName name="__APW_RESTORE_DATA5657__" hidden="1">#REF!</definedName>
    <definedName name="__APW_RESTORE_DATA5658__" hidden="1">#REF!</definedName>
    <definedName name="__APW_RESTORE_DATA5659__" hidden="1">#REF!</definedName>
    <definedName name="__APW_RESTORE_DATA566__" hidden="1">#REF!</definedName>
    <definedName name="__APW_RESTORE_DATA5660__" hidden="1">#REF!</definedName>
    <definedName name="__APW_RESTORE_DATA5661__" hidden="1">#REF!</definedName>
    <definedName name="__APW_RESTORE_DATA5662__" hidden="1">#REF!</definedName>
    <definedName name="__APW_RESTORE_DATA5663__" hidden="1">#REF!</definedName>
    <definedName name="__APW_RESTORE_DATA5664__" hidden="1">#REF!</definedName>
    <definedName name="__APW_RESTORE_DATA5665__" hidden="1">#REF!</definedName>
    <definedName name="__APW_RESTORE_DATA5666__" hidden="1">#REF!</definedName>
    <definedName name="__APW_RESTORE_DATA5667__" hidden="1">#REF!</definedName>
    <definedName name="__APW_RESTORE_DATA5668__" hidden="1">#REF!</definedName>
    <definedName name="__APW_RESTORE_DATA5669__" hidden="1">#REF!</definedName>
    <definedName name="__APW_RESTORE_DATA567__" hidden="1">#REF!</definedName>
    <definedName name="__APW_RESTORE_DATA5670__" hidden="1">#REF!</definedName>
    <definedName name="__APW_RESTORE_DATA5671__" hidden="1">#REF!</definedName>
    <definedName name="__APW_RESTORE_DATA5672__" hidden="1">#REF!</definedName>
    <definedName name="__APW_RESTORE_DATA5673__" hidden="1">#REF!</definedName>
    <definedName name="__APW_RESTORE_DATA5674__" hidden="1">#REF!</definedName>
    <definedName name="__APW_RESTORE_DATA5675__" hidden="1">#REF!</definedName>
    <definedName name="__APW_RESTORE_DATA5676__" hidden="1">#REF!</definedName>
    <definedName name="__APW_RESTORE_DATA5677__" hidden="1">#REF!</definedName>
    <definedName name="__APW_RESTORE_DATA5678__" hidden="1">#REF!</definedName>
    <definedName name="__APW_RESTORE_DATA5679__" hidden="1">#REF!</definedName>
    <definedName name="__APW_RESTORE_DATA568__" hidden="1">#REF!</definedName>
    <definedName name="__APW_RESTORE_DATA5680__" hidden="1">#REF!</definedName>
    <definedName name="__APW_RESTORE_DATA5681__" hidden="1">#REF!</definedName>
    <definedName name="__APW_RESTORE_DATA5682__" hidden="1">#REF!</definedName>
    <definedName name="__APW_RESTORE_DATA5683__" hidden="1">#REF!</definedName>
    <definedName name="__APW_RESTORE_DATA5684__" hidden="1">#REF!</definedName>
    <definedName name="__APW_RESTORE_DATA5685__" hidden="1">#REF!</definedName>
    <definedName name="__APW_RESTORE_DATA5686__" hidden="1">#REF!</definedName>
    <definedName name="__APW_RESTORE_DATA5687__" hidden="1">#REF!</definedName>
    <definedName name="__APW_RESTORE_DATA5688__" hidden="1">#REF!</definedName>
    <definedName name="__APW_RESTORE_DATA5689__" hidden="1">#REF!</definedName>
    <definedName name="__APW_RESTORE_DATA569__" hidden="1">#REF!</definedName>
    <definedName name="__APW_RESTORE_DATA5690__" hidden="1">#REF!</definedName>
    <definedName name="__APW_RESTORE_DATA5691__" hidden="1">#REF!</definedName>
    <definedName name="__APW_RESTORE_DATA5692__" hidden="1">#REF!</definedName>
    <definedName name="__APW_RESTORE_DATA5693__" hidden="1">#REF!</definedName>
    <definedName name="__APW_RESTORE_DATA5694__" hidden="1">#REF!</definedName>
    <definedName name="__APW_RESTORE_DATA5695__" hidden="1">#REF!</definedName>
    <definedName name="__APW_RESTORE_DATA5696__" hidden="1">#REF!</definedName>
    <definedName name="__APW_RESTORE_DATA5697__" hidden="1">#REF!</definedName>
    <definedName name="__APW_RESTORE_DATA5698__" hidden="1">#REF!</definedName>
    <definedName name="__APW_RESTORE_DATA5699__" hidden="1">#REF!</definedName>
    <definedName name="__APW_RESTORE_DATA57__" hidden="1">#REF!</definedName>
    <definedName name="__APW_RESTORE_DATA570__" hidden="1">#REF!</definedName>
    <definedName name="__APW_RESTORE_DATA5700__" hidden="1">#REF!</definedName>
    <definedName name="__APW_RESTORE_DATA5701__" hidden="1">#REF!</definedName>
    <definedName name="__APW_RESTORE_DATA5702__" hidden="1">#REF!</definedName>
    <definedName name="__APW_RESTORE_DATA5703__" hidden="1">#REF!</definedName>
    <definedName name="__APW_RESTORE_DATA5704__" hidden="1">#REF!</definedName>
    <definedName name="__APW_RESTORE_DATA5705__" hidden="1">#REF!</definedName>
    <definedName name="__APW_RESTORE_DATA5706__" hidden="1">#REF!</definedName>
    <definedName name="__APW_RESTORE_DATA5707__" hidden="1">#REF!</definedName>
    <definedName name="__APW_RESTORE_DATA5708__" hidden="1">#REF!</definedName>
    <definedName name="__APW_RESTORE_DATA5709__" hidden="1">#REF!</definedName>
    <definedName name="__APW_RESTORE_DATA571__" hidden="1">#REF!</definedName>
    <definedName name="__APW_RESTORE_DATA5710__" hidden="1">#REF!</definedName>
    <definedName name="__APW_RESTORE_DATA5711__" hidden="1">#REF!</definedName>
    <definedName name="__APW_RESTORE_DATA5712__" hidden="1">#REF!</definedName>
    <definedName name="__APW_RESTORE_DATA5713__" hidden="1">#REF!</definedName>
    <definedName name="__APW_RESTORE_DATA5714__" hidden="1">#REF!</definedName>
    <definedName name="__APW_RESTORE_DATA5715__" hidden="1">#REF!</definedName>
    <definedName name="__APW_RESTORE_DATA5716__" hidden="1">#REF!</definedName>
    <definedName name="__APW_RESTORE_DATA5717__" hidden="1">#REF!</definedName>
    <definedName name="__APW_RESTORE_DATA5718__" hidden="1">#REF!</definedName>
    <definedName name="__APW_RESTORE_DATA5719__" hidden="1">#REF!</definedName>
    <definedName name="__APW_RESTORE_DATA572__" hidden="1">#REF!</definedName>
    <definedName name="__APW_RESTORE_DATA5720__" hidden="1">#REF!</definedName>
    <definedName name="__APW_RESTORE_DATA5721__" hidden="1">#REF!</definedName>
    <definedName name="__APW_RESTORE_DATA5722__" hidden="1">#REF!</definedName>
    <definedName name="__APW_RESTORE_DATA5723__" hidden="1">#REF!</definedName>
    <definedName name="__APW_RESTORE_DATA5724__" hidden="1">#REF!</definedName>
    <definedName name="__APW_RESTORE_DATA5725__" hidden="1">#REF!</definedName>
    <definedName name="__APW_RESTORE_DATA5726__" hidden="1">#REF!</definedName>
    <definedName name="__APW_RESTORE_DATA5727__" hidden="1">#REF!</definedName>
    <definedName name="__APW_RESTORE_DATA5728__" hidden="1">#REF!</definedName>
    <definedName name="__APW_RESTORE_DATA5729__" hidden="1">#REF!</definedName>
    <definedName name="__APW_RESTORE_DATA573__" hidden="1">#REF!</definedName>
    <definedName name="__APW_RESTORE_DATA5730__" hidden="1">#REF!</definedName>
    <definedName name="__APW_RESTORE_DATA5731__" hidden="1">#REF!</definedName>
    <definedName name="__APW_RESTORE_DATA5732__" hidden="1">#REF!</definedName>
    <definedName name="__APW_RESTORE_DATA5733__" hidden="1">#REF!</definedName>
    <definedName name="__APW_RESTORE_DATA5734__" hidden="1">#REF!</definedName>
    <definedName name="__APW_RESTORE_DATA5735__" hidden="1">#REF!</definedName>
    <definedName name="__APW_RESTORE_DATA5736__" hidden="1">#REF!</definedName>
    <definedName name="__APW_RESTORE_DATA5737__" hidden="1">#REF!</definedName>
    <definedName name="__APW_RESTORE_DATA5738__" hidden="1">#REF!</definedName>
    <definedName name="__APW_RESTORE_DATA5739__" hidden="1">#REF!</definedName>
    <definedName name="__APW_RESTORE_DATA574__" hidden="1">#REF!</definedName>
    <definedName name="__APW_RESTORE_DATA5740__" hidden="1">#REF!</definedName>
    <definedName name="__APW_RESTORE_DATA5741__" hidden="1">#REF!</definedName>
    <definedName name="__APW_RESTORE_DATA5742__" hidden="1">#REF!</definedName>
    <definedName name="__APW_RESTORE_DATA5743__" hidden="1">#REF!</definedName>
    <definedName name="__APW_RESTORE_DATA5744__" hidden="1">#REF!</definedName>
    <definedName name="__APW_RESTORE_DATA5745__" hidden="1">#REF!</definedName>
    <definedName name="__APW_RESTORE_DATA5746__" hidden="1">#REF!</definedName>
    <definedName name="__APW_RESTORE_DATA5747__" hidden="1">#REF!</definedName>
    <definedName name="__APW_RESTORE_DATA5748__" hidden="1">#REF!</definedName>
    <definedName name="__APW_RESTORE_DATA5749__" hidden="1">#REF!</definedName>
    <definedName name="__APW_RESTORE_DATA575__" hidden="1">#REF!</definedName>
    <definedName name="__APW_RESTORE_DATA5750__" hidden="1">#REF!</definedName>
    <definedName name="__APW_RESTORE_DATA5751__" hidden="1">#REF!</definedName>
    <definedName name="__APW_RESTORE_DATA5752__" hidden="1">#REF!</definedName>
    <definedName name="__APW_RESTORE_DATA5753__" hidden="1">#REF!</definedName>
    <definedName name="__APW_RESTORE_DATA5754__" hidden="1">#REF!</definedName>
    <definedName name="__APW_RESTORE_DATA5755__" hidden="1">#REF!</definedName>
    <definedName name="__APW_RESTORE_DATA5756__" hidden="1">#REF!</definedName>
    <definedName name="__APW_RESTORE_DATA5757__" hidden="1">#REF!</definedName>
    <definedName name="__APW_RESTORE_DATA5758__" hidden="1">#REF!</definedName>
    <definedName name="__APW_RESTORE_DATA5759__" hidden="1">#REF!</definedName>
    <definedName name="__APW_RESTORE_DATA576__" hidden="1">#REF!</definedName>
    <definedName name="__APW_RESTORE_DATA5760__" hidden="1">#REF!</definedName>
    <definedName name="__APW_RESTORE_DATA5761__" hidden="1">#REF!</definedName>
    <definedName name="__APW_RESTORE_DATA5762__" hidden="1">#REF!</definedName>
    <definedName name="__APW_RESTORE_DATA5763__" hidden="1">#REF!</definedName>
    <definedName name="__APW_RESTORE_DATA5764__" hidden="1">#REF!</definedName>
    <definedName name="__APW_RESTORE_DATA5765__" hidden="1">#REF!</definedName>
    <definedName name="__APW_RESTORE_DATA5766__" hidden="1">#REF!</definedName>
    <definedName name="__APW_RESTORE_DATA5767__" hidden="1">#REF!</definedName>
    <definedName name="__APW_RESTORE_DATA5768__" hidden="1">#REF!</definedName>
    <definedName name="__APW_RESTORE_DATA5769__" hidden="1">#REF!</definedName>
    <definedName name="__APW_RESTORE_DATA577__" hidden="1">#REF!</definedName>
    <definedName name="__APW_RESTORE_DATA5770__" hidden="1">#REF!</definedName>
    <definedName name="__APW_RESTORE_DATA5771__" hidden="1">#REF!</definedName>
    <definedName name="__APW_RESTORE_DATA5772__" hidden="1">#REF!</definedName>
    <definedName name="__APW_RESTORE_DATA5773__" hidden="1">#REF!</definedName>
    <definedName name="__APW_RESTORE_DATA5774__" hidden="1">#REF!</definedName>
    <definedName name="__APW_RESTORE_DATA5775__" hidden="1">#REF!</definedName>
    <definedName name="__APW_RESTORE_DATA5776__" hidden="1">#REF!</definedName>
    <definedName name="__APW_RESTORE_DATA5777__" hidden="1">#REF!</definedName>
    <definedName name="__APW_RESTORE_DATA5778__" hidden="1">#REF!</definedName>
    <definedName name="__APW_RESTORE_DATA5779__" hidden="1">#REF!</definedName>
    <definedName name="__APW_RESTORE_DATA578__" hidden="1">#REF!</definedName>
    <definedName name="__APW_RESTORE_DATA5780__" hidden="1">#REF!</definedName>
    <definedName name="__APW_RESTORE_DATA5781__" hidden="1">#REF!</definedName>
    <definedName name="__APW_RESTORE_DATA5782__" hidden="1">#REF!</definedName>
    <definedName name="__APW_RESTORE_DATA5783__" hidden="1">#REF!</definedName>
    <definedName name="__APW_RESTORE_DATA5784__" hidden="1">#REF!</definedName>
    <definedName name="__APW_RESTORE_DATA5785__" hidden="1">#REF!</definedName>
    <definedName name="__APW_RESTORE_DATA5786__" hidden="1">#REF!</definedName>
    <definedName name="__APW_RESTORE_DATA5787__" hidden="1">#REF!</definedName>
    <definedName name="__APW_RESTORE_DATA5788__" hidden="1">#REF!</definedName>
    <definedName name="__APW_RESTORE_DATA5789__" hidden="1">#REF!</definedName>
    <definedName name="__APW_RESTORE_DATA579__" hidden="1">#REF!</definedName>
    <definedName name="__APW_RESTORE_DATA5790__" hidden="1">#REF!</definedName>
    <definedName name="__APW_RESTORE_DATA5791__" hidden="1">#REF!</definedName>
    <definedName name="__APW_RESTORE_DATA5792__" hidden="1">#REF!</definedName>
    <definedName name="__APW_RESTORE_DATA5793__" hidden="1">#REF!</definedName>
    <definedName name="__APW_RESTORE_DATA5794__" hidden="1">#REF!</definedName>
    <definedName name="__APW_RESTORE_DATA5795__" hidden="1">#REF!</definedName>
    <definedName name="__APW_RESTORE_DATA5796__" hidden="1">#REF!</definedName>
    <definedName name="__APW_RESTORE_DATA5797__" hidden="1">#REF!</definedName>
    <definedName name="__APW_RESTORE_DATA5798__" hidden="1">#REF!</definedName>
    <definedName name="__APW_RESTORE_DATA5799__" hidden="1">#REF!</definedName>
    <definedName name="__APW_RESTORE_DATA58__" hidden="1">#REF!</definedName>
    <definedName name="__APW_RESTORE_DATA580__" hidden="1">#REF!</definedName>
    <definedName name="__APW_RESTORE_DATA5800__" hidden="1">#REF!</definedName>
    <definedName name="__APW_RESTORE_DATA5801__" hidden="1">#REF!</definedName>
    <definedName name="__APW_RESTORE_DATA5802__" hidden="1">#REF!</definedName>
    <definedName name="__APW_RESTORE_DATA5803__" hidden="1">#REF!</definedName>
    <definedName name="__APW_RESTORE_DATA5804__" hidden="1">#REF!</definedName>
    <definedName name="__APW_RESTORE_DATA5805__" hidden="1">#REF!</definedName>
    <definedName name="__APW_RESTORE_DATA5806__" hidden="1">#REF!</definedName>
    <definedName name="__APW_RESTORE_DATA5807__" hidden="1">#REF!</definedName>
    <definedName name="__APW_RESTORE_DATA5808__" hidden="1">#REF!</definedName>
    <definedName name="__APW_RESTORE_DATA5809__" hidden="1">#REF!</definedName>
    <definedName name="__APW_RESTORE_DATA581__" hidden="1">#REF!</definedName>
    <definedName name="__APW_RESTORE_DATA5810__" hidden="1">#REF!</definedName>
    <definedName name="__APW_RESTORE_DATA5811__" hidden="1">#REF!</definedName>
    <definedName name="__APW_RESTORE_DATA5812__" hidden="1">#REF!</definedName>
    <definedName name="__APW_RESTORE_DATA5813__" hidden="1">#REF!</definedName>
    <definedName name="__APW_RESTORE_DATA5814__" hidden="1">#REF!</definedName>
    <definedName name="__APW_RESTORE_DATA5815__" hidden="1">#REF!</definedName>
    <definedName name="__APW_RESTORE_DATA5816__" hidden="1">#REF!</definedName>
    <definedName name="__APW_RESTORE_DATA5817__" hidden="1">#REF!</definedName>
    <definedName name="__APW_RESTORE_DATA5818__" hidden="1">#REF!</definedName>
    <definedName name="__APW_RESTORE_DATA5819__" hidden="1">#REF!</definedName>
    <definedName name="__APW_RESTORE_DATA582__" hidden="1">#REF!</definedName>
    <definedName name="__APW_RESTORE_DATA5820__" hidden="1">#REF!</definedName>
    <definedName name="__APW_RESTORE_DATA5821__" hidden="1">#REF!</definedName>
    <definedName name="__APW_RESTORE_DATA5822__" hidden="1">#REF!</definedName>
    <definedName name="__APW_RESTORE_DATA5823__" hidden="1">#REF!</definedName>
    <definedName name="__APW_RESTORE_DATA5824__" hidden="1">#REF!</definedName>
    <definedName name="__APW_RESTORE_DATA5825__" hidden="1">#REF!</definedName>
    <definedName name="__APW_RESTORE_DATA5826__" hidden="1">#REF!</definedName>
    <definedName name="__APW_RESTORE_DATA5827__" hidden="1">#REF!</definedName>
    <definedName name="__APW_RESTORE_DATA5828__" hidden="1">#REF!</definedName>
    <definedName name="__APW_RESTORE_DATA5829__" hidden="1">#REF!</definedName>
    <definedName name="__APW_RESTORE_DATA583__" hidden="1">#REF!</definedName>
    <definedName name="__APW_RESTORE_DATA5830__" hidden="1">#REF!</definedName>
    <definedName name="__APW_RESTORE_DATA5831__" hidden="1">#REF!</definedName>
    <definedName name="__APW_RESTORE_DATA5832__" hidden="1">#REF!</definedName>
    <definedName name="__APW_RESTORE_DATA5833__" hidden="1">#REF!</definedName>
    <definedName name="__APW_RESTORE_DATA5834__" hidden="1">#REF!</definedName>
    <definedName name="__APW_RESTORE_DATA5835__" hidden="1">#REF!</definedName>
    <definedName name="__APW_RESTORE_DATA5836__" hidden="1">#REF!</definedName>
    <definedName name="__APW_RESTORE_DATA5837__" hidden="1">#REF!</definedName>
    <definedName name="__APW_RESTORE_DATA5838__" hidden="1">#REF!</definedName>
    <definedName name="__APW_RESTORE_DATA5839__" hidden="1">#REF!</definedName>
    <definedName name="__APW_RESTORE_DATA584__" hidden="1">#REF!</definedName>
    <definedName name="__APW_RESTORE_DATA5840__" hidden="1">#REF!</definedName>
    <definedName name="__APW_RESTORE_DATA5841__" hidden="1">#REF!</definedName>
    <definedName name="__APW_RESTORE_DATA5842__" hidden="1">#REF!</definedName>
    <definedName name="__APW_RESTORE_DATA5843__" hidden="1">#REF!</definedName>
    <definedName name="__APW_RESTORE_DATA5844__" hidden="1">#REF!</definedName>
    <definedName name="__APW_RESTORE_DATA5845__" hidden="1">#REF!</definedName>
    <definedName name="__APW_RESTORE_DATA5846__" hidden="1">#REF!</definedName>
    <definedName name="__APW_RESTORE_DATA5847__" hidden="1">#REF!</definedName>
    <definedName name="__APW_RESTORE_DATA5848__" hidden="1">#REF!</definedName>
    <definedName name="__APW_RESTORE_DATA5849__" hidden="1">#REF!</definedName>
    <definedName name="__APW_RESTORE_DATA585__" hidden="1">#REF!</definedName>
    <definedName name="__APW_RESTORE_DATA5850__" hidden="1">#REF!</definedName>
    <definedName name="__APW_RESTORE_DATA5851__" hidden="1">#REF!</definedName>
    <definedName name="__APW_RESTORE_DATA5852__" hidden="1">#REF!</definedName>
    <definedName name="__APW_RESTORE_DATA5853__" hidden="1">#REF!</definedName>
    <definedName name="__APW_RESTORE_DATA5854__" hidden="1">#REF!</definedName>
    <definedName name="__APW_RESTORE_DATA5855__" hidden="1">#REF!</definedName>
    <definedName name="__APW_RESTORE_DATA5856__" hidden="1">#REF!</definedName>
    <definedName name="__APW_RESTORE_DATA5857__" hidden="1">#REF!</definedName>
    <definedName name="__APW_RESTORE_DATA5858__" hidden="1">#REF!</definedName>
    <definedName name="__APW_RESTORE_DATA5859__" hidden="1">#REF!</definedName>
    <definedName name="__APW_RESTORE_DATA586__" hidden="1">#REF!</definedName>
    <definedName name="__APW_RESTORE_DATA5860__" hidden="1">#REF!</definedName>
    <definedName name="__APW_RESTORE_DATA5861__" hidden="1">#REF!</definedName>
    <definedName name="__APW_RESTORE_DATA5862__" hidden="1">#REF!</definedName>
    <definedName name="__APW_RESTORE_DATA5863__" hidden="1">#REF!</definedName>
    <definedName name="__APW_RESTORE_DATA5864__" hidden="1">#REF!</definedName>
    <definedName name="__APW_RESTORE_DATA5865__" hidden="1">#REF!</definedName>
    <definedName name="__APW_RESTORE_DATA5866__" hidden="1">#REF!</definedName>
    <definedName name="__APW_RESTORE_DATA5867__" hidden="1">#REF!</definedName>
    <definedName name="__APW_RESTORE_DATA5868__" hidden="1">#REF!</definedName>
    <definedName name="__APW_RESTORE_DATA5869__" hidden="1">#REF!</definedName>
    <definedName name="__APW_RESTORE_DATA587__" hidden="1">#REF!</definedName>
    <definedName name="__APW_RESTORE_DATA5870__" hidden="1">#REF!</definedName>
    <definedName name="__APW_RESTORE_DATA5871__" hidden="1">#REF!</definedName>
    <definedName name="__APW_RESTORE_DATA5872__" hidden="1">#REF!</definedName>
    <definedName name="__APW_RESTORE_DATA5873__" hidden="1">#REF!</definedName>
    <definedName name="__APW_RESTORE_DATA5874__" hidden="1">#REF!</definedName>
    <definedName name="__APW_RESTORE_DATA5875__" hidden="1">#REF!</definedName>
    <definedName name="__APW_RESTORE_DATA5876__" hidden="1">#REF!</definedName>
    <definedName name="__APW_RESTORE_DATA5877__" hidden="1">#REF!</definedName>
    <definedName name="__APW_RESTORE_DATA5878__" hidden="1">#REF!</definedName>
    <definedName name="__APW_RESTORE_DATA5879__" hidden="1">#REF!</definedName>
    <definedName name="__APW_RESTORE_DATA588__" hidden="1">#REF!</definedName>
    <definedName name="__APW_RESTORE_DATA5880__" hidden="1">#REF!</definedName>
    <definedName name="__APW_RESTORE_DATA5881__" hidden="1">#REF!</definedName>
    <definedName name="__APW_RESTORE_DATA5882__" hidden="1">#REF!</definedName>
    <definedName name="__APW_RESTORE_DATA5883__" hidden="1">#REF!</definedName>
    <definedName name="__APW_RESTORE_DATA5884__" hidden="1">#REF!</definedName>
    <definedName name="__APW_RESTORE_DATA5885__" hidden="1">#REF!</definedName>
    <definedName name="__APW_RESTORE_DATA5886__" hidden="1">#REF!</definedName>
    <definedName name="__APW_RESTORE_DATA5887__" hidden="1">#REF!</definedName>
    <definedName name="__APW_RESTORE_DATA5888__" hidden="1">#REF!</definedName>
    <definedName name="__APW_RESTORE_DATA5889__" hidden="1">#REF!</definedName>
    <definedName name="__APW_RESTORE_DATA589__" hidden="1">#REF!</definedName>
    <definedName name="__APW_RESTORE_DATA5890__" hidden="1">#REF!</definedName>
    <definedName name="__APW_RESTORE_DATA5891__" hidden="1">#REF!</definedName>
    <definedName name="__APW_RESTORE_DATA5892__" hidden="1">#REF!</definedName>
    <definedName name="__APW_RESTORE_DATA5893__" hidden="1">#REF!</definedName>
    <definedName name="__APW_RESTORE_DATA5894__" hidden="1">#REF!</definedName>
    <definedName name="__APW_RESTORE_DATA5895__" hidden="1">#REF!</definedName>
    <definedName name="__APW_RESTORE_DATA5896__" hidden="1">#REF!</definedName>
    <definedName name="__APW_RESTORE_DATA5897__" hidden="1">#REF!</definedName>
    <definedName name="__APW_RESTORE_DATA5898__" hidden="1">#REF!</definedName>
    <definedName name="__APW_RESTORE_DATA5899__" hidden="1">#REF!</definedName>
    <definedName name="__APW_RESTORE_DATA59__" hidden="1">#REF!</definedName>
    <definedName name="__APW_RESTORE_DATA590__" hidden="1">#REF!</definedName>
    <definedName name="__APW_RESTORE_DATA5900__" hidden="1">#REF!</definedName>
    <definedName name="__APW_RESTORE_DATA5901__" hidden="1">#REF!</definedName>
    <definedName name="__APW_RESTORE_DATA5902__" hidden="1">#REF!</definedName>
    <definedName name="__APW_RESTORE_DATA5903__" hidden="1">#REF!</definedName>
    <definedName name="__APW_RESTORE_DATA5904__" hidden="1">#REF!</definedName>
    <definedName name="__APW_RESTORE_DATA5905__" hidden="1">#REF!</definedName>
    <definedName name="__APW_RESTORE_DATA5906__" hidden="1">#REF!</definedName>
    <definedName name="__APW_RESTORE_DATA5907__" hidden="1">#REF!</definedName>
    <definedName name="__APW_RESTORE_DATA5908__" hidden="1">#REF!</definedName>
    <definedName name="__APW_RESTORE_DATA5909__" hidden="1">#REF!</definedName>
    <definedName name="__APW_RESTORE_DATA591__" hidden="1">#REF!</definedName>
    <definedName name="__APW_RESTORE_DATA5910__" hidden="1">#REF!</definedName>
    <definedName name="__APW_RESTORE_DATA5911__" hidden="1">#REF!</definedName>
    <definedName name="__APW_RESTORE_DATA5912__" hidden="1">#REF!</definedName>
    <definedName name="__APW_RESTORE_DATA5913__" hidden="1">#REF!</definedName>
    <definedName name="__APW_RESTORE_DATA5914__" hidden="1">#REF!</definedName>
    <definedName name="__APW_RESTORE_DATA5915__" hidden="1">#REF!</definedName>
    <definedName name="__APW_RESTORE_DATA5916__" hidden="1">#REF!</definedName>
    <definedName name="__APW_RESTORE_DATA5917__" hidden="1">#REF!</definedName>
    <definedName name="__APW_RESTORE_DATA5918__" hidden="1">#REF!</definedName>
    <definedName name="__APW_RESTORE_DATA5919__" hidden="1">#REF!</definedName>
    <definedName name="__APW_RESTORE_DATA592__" hidden="1">#REF!</definedName>
    <definedName name="__APW_RESTORE_DATA5920__" hidden="1">#REF!</definedName>
    <definedName name="__APW_RESTORE_DATA5921__" hidden="1">#REF!</definedName>
    <definedName name="__APW_RESTORE_DATA5922__" hidden="1">#REF!</definedName>
    <definedName name="__APW_RESTORE_DATA5923__" hidden="1">#REF!</definedName>
    <definedName name="__APW_RESTORE_DATA5924__" hidden="1">#REF!</definedName>
    <definedName name="__APW_RESTORE_DATA5925__" hidden="1">#REF!</definedName>
    <definedName name="__APW_RESTORE_DATA5926__" hidden="1">#REF!</definedName>
    <definedName name="__APW_RESTORE_DATA5927__" hidden="1">#REF!</definedName>
    <definedName name="__APW_RESTORE_DATA5928__" hidden="1">#REF!</definedName>
    <definedName name="__APW_RESTORE_DATA5929__" hidden="1">#REF!</definedName>
    <definedName name="__APW_RESTORE_DATA593__" hidden="1">#REF!</definedName>
    <definedName name="__APW_RESTORE_DATA5930__" hidden="1">#REF!</definedName>
    <definedName name="__APW_RESTORE_DATA5931__" hidden="1">#REF!</definedName>
    <definedName name="__APW_RESTORE_DATA5932__" hidden="1">#REF!</definedName>
    <definedName name="__APW_RESTORE_DATA5933__" hidden="1">#REF!</definedName>
    <definedName name="__APW_RESTORE_DATA5934__" hidden="1">#REF!</definedName>
    <definedName name="__APW_RESTORE_DATA5935__" hidden="1">#REF!</definedName>
    <definedName name="__APW_RESTORE_DATA5936__" hidden="1">#REF!</definedName>
    <definedName name="__APW_RESTORE_DATA5937__" hidden="1">#REF!</definedName>
    <definedName name="__APW_RESTORE_DATA5938__" hidden="1">#REF!</definedName>
    <definedName name="__APW_RESTORE_DATA5939__" hidden="1">#REF!</definedName>
    <definedName name="__APW_RESTORE_DATA594__" hidden="1">#REF!</definedName>
    <definedName name="__APW_RESTORE_DATA5940__" hidden="1">#REF!</definedName>
    <definedName name="__APW_RESTORE_DATA5941__" hidden="1">#REF!</definedName>
    <definedName name="__APW_RESTORE_DATA5942__" hidden="1">#REF!</definedName>
    <definedName name="__APW_RESTORE_DATA5943__" hidden="1">#REF!</definedName>
    <definedName name="__APW_RESTORE_DATA5944__" hidden="1">#REF!</definedName>
    <definedName name="__APW_RESTORE_DATA5945__" hidden="1">#REF!</definedName>
    <definedName name="__APW_RESTORE_DATA5946__" hidden="1">#REF!</definedName>
    <definedName name="__APW_RESTORE_DATA5947__" hidden="1">#REF!</definedName>
    <definedName name="__APW_RESTORE_DATA5948__" hidden="1">#REF!</definedName>
    <definedName name="__APW_RESTORE_DATA5949__" hidden="1">#REF!</definedName>
    <definedName name="__APW_RESTORE_DATA595__" hidden="1">#REF!</definedName>
    <definedName name="__APW_RESTORE_DATA5950__" hidden="1">#REF!</definedName>
    <definedName name="__APW_RESTORE_DATA5951__" hidden="1">#REF!</definedName>
    <definedName name="__APW_RESTORE_DATA5952__" hidden="1">#REF!</definedName>
    <definedName name="__APW_RESTORE_DATA5953__" hidden="1">#REF!</definedName>
    <definedName name="__APW_RESTORE_DATA5954__" hidden="1">#REF!</definedName>
    <definedName name="__APW_RESTORE_DATA5955__" hidden="1">#REF!</definedName>
    <definedName name="__APW_RESTORE_DATA5956__" hidden="1">#REF!</definedName>
    <definedName name="__APW_RESTORE_DATA5957__" hidden="1">#REF!</definedName>
    <definedName name="__APW_RESTORE_DATA5958__" hidden="1">#REF!</definedName>
    <definedName name="__APW_RESTORE_DATA5959__" hidden="1">#REF!</definedName>
    <definedName name="__APW_RESTORE_DATA596__" hidden="1">#REF!</definedName>
    <definedName name="__APW_RESTORE_DATA5960__" hidden="1">#REF!</definedName>
    <definedName name="__APW_RESTORE_DATA5961__" hidden="1">#REF!</definedName>
    <definedName name="__APW_RESTORE_DATA5962__" hidden="1">#REF!</definedName>
    <definedName name="__APW_RESTORE_DATA5963__" hidden="1">#REF!</definedName>
    <definedName name="__APW_RESTORE_DATA5964__" hidden="1">#REF!</definedName>
    <definedName name="__APW_RESTORE_DATA5965__" hidden="1">#REF!</definedName>
    <definedName name="__APW_RESTORE_DATA5966__" hidden="1">#REF!</definedName>
    <definedName name="__APW_RESTORE_DATA5967__" hidden="1">#REF!</definedName>
    <definedName name="__APW_RESTORE_DATA5968__" hidden="1">#REF!</definedName>
    <definedName name="__APW_RESTORE_DATA5969__" hidden="1">#REF!</definedName>
    <definedName name="__APW_RESTORE_DATA597__" hidden="1">#REF!</definedName>
    <definedName name="__APW_RESTORE_DATA5970__" hidden="1">#REF!</definedName>
    <definedName name="__APW_RESTORE_DATA5971__" hidden="1">#REF!</definedName>
    <definedName name="__APW_RESTORE_DATA5972__" hidden="1">#REF!</definedName>
    <definedName name="__APW_RESTORE_DATA5973__" hidden="1">#REF!</definedName>
    <definedName name="__APW_RESTORE_DATA5974__" hidden="1">#REF!</definedName>
    <definedName name="__APW_RESTORE_DATA5975__" hidden="1">#REF!</definedName>
    <definedName name="__APW_RESTORE_DATA5976__" hidden="1">#REF!</definedName>
    <definedName name="__APW_RESTORE_DATA5977__" hidden="1">#REF!</definedName>
    <definedName name="__APW_RESTORE_DATA5978__" hidden="1">#REF!</definedName>
    <definedName name="__APW_RESTORE_DATA5979__" hidden="1">#REF!</definedName>
    <definedName name="__APW_RESTORE_DATA598__" hidden="1">#REF!</definedName>
    <definedName name="__APW_RESTORE_DATA5980__" hidden="1">#REF!</definedName>
    <definedName name="__APW_RESTORE_DATA5981__" hidden="1">#REF!</definedName>
    <definedName name="__APW_RESTORE_DATA5982__" hidden="1">#REF!</definedName>
    <definedName name="__APW_RESTORE_DATA5983__" hidden="1">#REF!</definedName>
    <definedName name="__APW_RESTORE_DATA5984__" hidden="1">#REF!</definedName>
    <definedName name="__APW_RESTORE_DATA5985__" hidden="1">#REF!</definedName>
    <definedName name="__APW_RESTORE_DATA5986__" hidden="1">#REF!</definedName>
    <definedName name="__APW_RESTORE_DATA5987__" hidden="1">#REF!</definedName>
    <definedName name="__APW_RESTORE_DATA5988__" hidden="1">#REF!</definedName>
    <definedName name="__APW_RESTORE_DATA5989__" hidden="1">#REF!</definedName>
    <definedName name="__APW_RESTORE_DATA599__" hidden="1">#REF!</definedName>
    <definedName name="__APW_RESTORE_DATA5990__" hidden="1">#REF!</definedName>
    <definedName name="__APW_RESTORE_DATA5991__" hidden="1">#REF!</definedName>
    <definedName name="__APW_RESTORE_DATA5992__" hidden="1">#REF!</definedName>
    <definedName name="__APW_RESTORE_DATA5993__" hidden="1">#REF!</definedName>
    <definedName name="__APW_RESTORE_DATA5994__" hidden="1">#REF!</definedName>
    <definedName name="__APW_RESTORE_DATA5995__" hidden="1">#REF!</definedName>
    <definedName name="__APW_RESTORE_DATA5996__" hidden="1">#REF!</definedName>
    <definedName name="__APW_RESTORE_DATA5997__" hidden="1">#REF!</definedName>
    <definedName name="__APW_RESTORE_DATA5998__" hidden="1">#REF!</definedName>
    <definedName name="__APW_RESTORE_DATA5999__" hidden="1">#REF!</definedName>
    <definedName name="__APW_RESTORE_DATA6__" hidden="1">#REF!</definedName>
    <definedName name="__APW_RESTORE_DATA60__" hidden="1">#REF!</definedName>
    <definedName name="__APW_RESTORE_DATA600__" hidden="1">#REF!</definedName>
    <definedName name="__APW_RESTORE_DATA6000__" hidden="1">#REF!</definedName>
    <definedName name="__APW_RESTORE_DATA6001__" hidden="1">#REF!</definedName>
    <definedName name="__APW_RESTORE_DATA6002__" hidden="1">#REF!</definedName>
    <definedName name="__APW_RESTORE_DATA6003__" hidden="1">#REF!</definedName>
    <definedName name="__APW_RESTORE_DATA6004__" hidden="1">#REF!</definedName>
    <definedName name="__APW_RESTORE_DATA6005__" hidden="1">#REF!</definedName>
    <definedName name="__APW_RESTORE_DATA6006__" hidden="1">#REF!</definedName>
    <definedName name="__APW_RESTORE_DATA6007__" hidden="1">#REF!</definedName>
    <definedName name="__APW_RESTORE_DATA6008__" hidden="1">#REF!</definedName>
    <definedName name="__APW_RESTORE_DATA6009__" hidden="1">#REF!</definedName>
    <definedName name="__APW_RESTORE_DATA601__" hidden="1">#REF!</definedName>
    <definedName name="__APW_RESTORE_DATA6010__" hidden="1">#REF!</definedName>
    <definedName name="__APW_RESTORE_DATA6011__" hidden="1">#REF!</definedName>
    <definedName name="__APW_RESTORE_DATA6012__" hidden="1">#REF!</definedName>
    <definedName name="__APW_RESTORE_DATA6013__" hidden="1">#REF!</definedName>
    <definedName name="__APW_RESTORE_DATA6014__" hidden="1">#REF!</definedName>
    <definedName name="__APW_RESTORE_DATA6015__" hidden="1">#REF!</definedName>
    <definedName name="__APW_RESTORE_DATA6016__" hidden="1">#REF!</definedName>
    <definedName name="__APW_RESTORE_DATA6017__" hidden="1">#REF!</definedName>
    <definedName name="__APW_RESTORE_DATA6018__" hidden="1">#REF!</definedName>
    <definedName name="__APW_RESTORE_DATA6019__" hidden="1">#REF!</definedName>
    <definedName name="__APW_RESTORE_DATA602__" hidden="1">#REF!</definedName>
    <definedName name="__APW_RESTORE_DATA6020__" hidden="1">#REF!</definedName>
    <definedName name="__APW_RESTORE_DATA6021__" hidden="1">#REF!</definedName>
    <definedName name="__APW_RESTORE_DATA6022__" hidden="1">#REF!</definedName>
    <definedName name="__APW_RESTORE_DATA6023__" hidden="1">#REF!</definedName>
    <definedName name="__APW_RESTORE_DATA6024__" hidden="1">#REF!</definedName>
    <definedName name="__APW_RESTORE_DATA6025__" hidden="1">#REF!</definedName>
    <definedName name="__APW_RESTORE_DATA6026__" hidden="1">#REF!</definedName>
    <definedName name="__APW_RESTORE_DATA6027__" hidden="1">#REF!</definedName>
    <definedName name="__APW_RESTORE_DATA6028__" hidden="1">#REF!</definedName>
    <definedName name="__APW_RESTORE_DATA6029__" hidden="1">#REF!</definedName>
    <definedName name="__APW_RESTORE_DATA603__" hidden="1">#REF!</definedName>
    <definedName name="__APW_RESTORE_DATA6030__" hidden="1">#REF!</definedName>
    <definedName name="__APW_RESTORE_DATA6031__" hidden="1">#REF!</definedName>
    <definedName name="__APW_RESTORE_DATA6032__" hidden="1">#REF!</definedName>
    <definedName name="__APW_RESTORE_DATA6033__" hidden="1">#REF!</definedName>
    <definedName name="__APW_RESTORE_DATA6034__" hidden="1">#REF!</definedName>
    <definedName name="__APW_RESTORE_DATA6035__" hidden="1">#REF!</definedName>
    <definedName name="__APW_RESTORE_DATA6036__" hidden="1">#REF!</definedName>
    <definedName name="__APW_RESTORE_DATA6037__" hidden="1">#REF!</definedName>
    <definedName name="__APW_RESTORE_DATA6038__" hidden="1">#REF!</definedName>
    <definedName name="__APW_RESTORE_DATA6039__" hidden="1">#REF!</definedName>
    <definedName name="__APW_RESTORE_DATA604__" hidden="1">#REF!</definedName>
    <definedName name="__APW_RESTORE_DATA6040__" hidden="1">#REF!</definedName>
    <definedName name="__APW_RESTORE_DATA6041__" hidden="1">#REF!</definedName>
    <definedName name="__APW_RESTORE_DATA6042__" hidden="1">#REF!</definedName>
    <definedName name="__APW_RESTORE_DATA6043__" hidden="1">#REF!</definedName>
    <definedName name="__APW_RESTORE_DATA6044__" hidden="1">#REF!</definedName>
    <definedName name="__APW_RESTORE_DATA6045__" hidden="1">#REF!</definedName>
    <definedName name="__APW_RESTORE_DATA6046__" hidden="1">#REF!</definedName>
    <definedName name="__APW_RESTORE_DATA6047__" hidden="1">#REF!</definedName>
    <definedName name="__APW_RESTORE_DATA6048__" hidden="1">#REF!</definedName>
    <definedName name="__APW_RESTORE_DATA6049__" hidden="1">#REF!</definedName>
    <definedName name="__APW_RESTORE_DATA605__" hidden="1">#REF!</definedName>
    <definedName name="__APW_RESTORE_DATA6050__" hidden="1">#REF!</definedName>
    <definedName name="__APW_RESTORE_DATA6051__" hidden="1">#REF!</definedName>
    <definedName name="__APW_RESTORE_DATA6052__" hidden="1">#REF!</definedName>
    <definedName name="__APW_RESTORE_DATA6053__" hidden="1">#REF!</definedName>
    <definedName name="__APW_RESTORE_DATA6054__" hidden="1">#REF!</definedName>
    <definedName name="__APW_RESTORE_DATA6055__" hidden="1">#REF!</definedName>
    <definedName name="__APW_RESTORE_DATA6056__" hidden="1">#REF!</definedName>
    <definedName name="__APW_RESTORE_DATA6057__" hidden="1">#REF!</definedName>
    <definedName name="__APW_RESTORE_DATA6058__" hidden="1">#REF!</definedName>
    <definedName name="__APW_RESTORE_DATA6059__" hidden="1">#REF!</definedName>
    <definedName name="__APW_RESTORE_DATA606__" hidden="1">#REF!</definedName>
    <definedName name="__APW_RESTORE_DATA6060__" hidden="1">#REF!</definedName>
    <definedName name="__APW_RESTORE_DATA6061__" hidden="1">#REF!</definedName>
    <definedName name="__APW_RESTORE_DATA6062__" hidden="1">#REF!</definedName>
    <definedName name="__APW_RESTORE_DATA6063__" hidden="1">#REF!</definedName>
    <definedName name="__APW_RESTORE_DATA6064__" hidden="1">#REF!</definedName>
    <definedName name="__APW_RESTORE_DATA6065__" hidden="1">#REF!</definedName>
    <definedName name="__APW_RESTORE_DATA6066__" hidden="1">#REF!</definedName>
    <definedName name="__APW_RESTORE_DATA6067__" hidden="1">#REF!</definedName>
    <definedName name="__APW_RESTORE_DATA6068__" hidden="1">#REF!</definedName>
    <definedName name="__APW_RESTORE_DATA6069__" hidden="1">#REF!</definedName>
    <definedName name="__APW_RESTORE_DATA607__" hidden="1">#REF!</definedName>
    <definedName name="__APW_RESTORE_DATA6070__" hidden="1">#REF!</definedName>
    <definedName name="__APW_RESTORE_DATA6071__" hidden="1">#REF!</definedName>
    <definedName name="__APW_RESTORE_DATA6072__" hidden="1">#REF!</definedName>
    <definedName name="__APW_RESTORE_DATA6073__" hidden="1">#REF!</definedName>
    <definedName name="__APW_RESTORE_DATA6074__" hidden="1">#REF!</definedName>
    <definedName name="__APW_RESTORE_DATA6075__" hidden="1">#REF!</definedName>
    <definedName name="__APW_RESTORE_DATA6076__" hidden="1">#REF!</definedName>
    <definedName name="__APW_RESTORE_DATA6077__" hidden="1">#REF!</definedName>
    <definedName name="__APW_RESTORE_DATA6078__" hidden="1">#REF!</definedName>
    <definedName name="__APW_RESTORE_DATA6079__" hidden="1">#REF!</definedName>
    <definedName name="__APW_RESTORE_DATA608__" hidden="1">#REF!</definedName>
    <definedName name="__APW_RESTORE_DATA6080__" hidden="1">#REF!</definedName>
    <definedName name="__APW_RESTORE_DATA6081__" hidden="1">#REF!</definedName>
    <definedName name="__APW_RESTORE_DATA6082__" hidden="1">#REF!</definedName>
    <definedName name="__APW_RESTORE_DATA6083__" hidden="1">#REF!</definedName>
    <definedName name="__APW_RESTORE_DATA6084__" hidden="1">#REF!</definedName>
    <definedName name="__APW_RESTORE_DATA6085__" hidden="1">#REF!</definedName>
    <definedName name="__APW_RESTORE_DATA6086__" hidden="1">#REF!</definedName>
    <definedName name="__APW_RESTORE_DATA6087__" hidden="1">#REF!</definedName>
    <definedName name="__APW_RESTORE_DATA6088__" hidden="1">#REF!</definedName>
    <definedName name="__APW_RESTORE_DATA6089__" hidden="1">#REF!</definedName>
    <definedName name="__APW_RESTORE_DATA609__" hidden="1">#REF!</definedName>
    <definedName name="__APW_RESTORE_DATA6090__" hidden="1">#REF!</definedName>
    <definedName name="__APW_RESTORE_DATA6091__" hidden="1">#REF!</definedName>
    <definedName name="__APW_RESTORE_DATA6092__" hidden="1">#REF!</definedName>
    <definedName name="__APW_RESTORE_DATA6093__" hidden="1">#REF!</definedName>
    <definedName name="__APW_RESTORE_DATA6094__" hidden="1">#REF!</definedName>
    <definedName name="__APW_RESTORE_DATA6095__" hidden="1">#REF!</definedName>
    <definedName name="__APW_RESTORE_DATA6096__" hidden="1">#REF!</definedName>
    <definedName name="__APW_RESTORE_DATA6097__" hidden="1">#REF!</definedName>
    <definedName name="__APW_RESTORE_DATA6098__" hidden="1">#REF!</definedName>
    <definedName name="__APW_RESTORE_DATA6099__" hidden="1">#REF!</definedName>
    <definedName name="__APW_RESTORE_DATA61__" hidden="1">#REF!</definedName>
    <definedName name="__APW_RESTORE_DATA610__" hidden="1">#REF!</definedName>
    <definedName name="__APW_RESTORE_DATA6100__" hidden="1">#REF!</definedName>
    <definedName name="__APW_RESTORE_DATA6101__" hidden="1">#REF!</definedName>
    <definedName name="__APW_RESTORE_DATA6102__" hidden="1">#REF!</definedName>
    <definedName name="__APW_RESTORE_DATA6103__" hidden="1">#REF!</definedName>
    <definedName name="__APW_RESTORE_DATA6104__" hidden="1">#REF!</definedName>
    <definedName name="__APW_RESTORE_DATA6105__" hidden="1">#REF!</definedName>
    <definedName name="__APW_RESTORE_DATA6106__" hidden="1">#REF!</definedName>
    <definedName name="__APW_RESTORE_DATA6107__" hidden="1">#REF!</definedName>
    <definedName name="__APW_RESTORE_DATA6108__" hidden="1">#REF!</definedName>
    <definedName name="__APW_RESTORE_DATA6109__" hidden="1">#REF!</definedName>
    <definedName name="__APW_RESTORE_DATA611__" hidden="1">#REF!</definedName>
    <definedName name="__APW_RESTORE_DATA6110__" hidden="1">#REF!</definedName>
    <definedName name="__APW_RESTORE_DATA6111__" hidden="1">#REF!</definedName>
    <definedName name="__APW_RESTORE_DATA6112__" hidden="1">#REF!</definedName>
    <definedName name="__APW_RESTORE_DATA6113__" hidden="1">#REF!</definedName>
    <definedName name="__APW_RESTORE_DATA6114__" hidden="1">#REF!</definedName>
    <definedName name="__APW_RESTORE_DATA6115__" hidden="1">#REF!</definedName>
    <definedName name="__APW_RESTORE_DATA6116__" hidden="1">#REF!</definedName>
    <definedName name="__APW_RESTORE_DATA6117__" hidden="1">#REF!</definedName>
    <definedName name="__APW_RESTORE_DATA6118__" hidden="1">#REF!</definedName>
    <definedName name="__APW_RESTORE_DATA6119__" hidden="1">#REF!</definedName>
    <definedName name="__APW_RESTORE_DATA612__" hidden="1">#REF!</definedName>
    <definedName name="__APW_RESTORE_DATA6120__" hidden="1">#REF!</definedName>
    <definedName name="__APW_RESTORE_DATA6121__" hidden="1">#REF!</definedName>
    <definedName name="__APW_RESTORE_DATA6122__" hidden="1">#REF!</definedName>
    <definedName name="__APW_RESTORE_DATA6123__" hidden="1">#REF!</definedName>
    <definedName name="__APW_RESTORE_DATA6124__" hidden="1">#REF!</definedName>
    <definedName name="__APW_RESTORE_DATA6125__" hidden="1">#REF!</definedName>
    <definedName name="__APW_RESTORE_DATA6126__" hidden="1">#REF!</definedName>
    <definedName name="__APW_RESTORE_DATA6127__" hidden="1">#REF!</definedName>
    <definedName name="__APW_RESTORE_DATA6128__" hidden="1">#REF!</definedName>
    <definedName name="__APW_RESTORE_DATA6129__" hidden="1">#REF!</definedName>
    <definedName name="__APW_RESTORE_DATA613__" hidden="1">#REF!</definedName>
    <definedName name="__APW_RESTORE_DATA6130__" hidden="1">#REF!</definedName>
    <definedName name="__APW_RESTORE_DATA6131__" hidden="1">#REF!</definedName>
    <definedName name="__APW_RESTORE_DATA6132__" hidden="1">#REF!</definedName>
    <definedName name="__APW_RESTORE_DATA6133__" hidden="1">#REF!</definedName>
    <definedName name="__APW_RESTORE_DATA6134__" hidden="1">#REF!</definedName>
    <definedName name="__APW_RESTORE_DATA6135__" hidden="1">#REF!</definedName>
    <definedName name="__APW_RESTORE_DATA6136__" hidden="1">#REF!</definedName>
    <definedName name="__APW_RESTORE_DATA6137__" hidden="1">#REF!</definedName>
    <definedName name="__APW_RESTORE_DATA6138__" hidden="1">#REF!</definedName>
    <definedName name="__APW_RESTORE_DATA6139__" hidden="1">#REF!</definedName>
    <definedName name="__APW_RESTORE_DATA614__" hidden="1">#REF!</definedName>
    <definedName name="__APW_RESTORE_DATA6140__" hidden="1">#REF!</definedName>
    <definedName name="__APW_RESTORE_DATA6141__" hidden="1">#REF!</definedName>
    <definedName name="__APW_RESTORE_DATA6142__" hidden="1">#REF!</definedName>
    <definedName name="__APW_RESTORE_DATA6143__" hidden="1">#REF!</definedName>
    <definedName name="__APW_RESTORE_DATA6144__" hidden="1">#REF!</definedName>
    <definedName name="__APW_RESTORE_DATA6145__" hidden="1">#REF!</definedName>
    <definedName name="__APW_RESTORE_DATA6146__" hidden="1">#REF!</definedName>
    <definedName name="__APW_RESTORE_DATA6147__" hidden="1">#REF!</definedName>
    <definedName name="__APW_RESTORE_DATA6148__" hidden="1">#REF!</definedName>
    <definedName name="__APW_RESTORE_DATA6149__" hidden="1">#REF!</definedName>
    <definedName name="__APW_RESTORE_DATA615__" hidden="1">#REF!</definedName>
    <definedName name="__APW_RESTORE_DATA6150__" hidden="1">#REF!</definedName>
    <definedName name="__APW_RESTORE_DATA6151__" hidden="1">#REF!</definedName>
    <definedName name="__APW_RESTORE_DATA6152__" hidden="1">#REF!</definedName>
    <definedName name="__APW_RESTORE_DATA6153__" hidden="1">#REF!</definedName>
    <definedName name="__APW_RESTORE_DATA6154__" hidden="1">#REF!</definedName>
    <definedName name="__APW_RESTORE_DATA6155__" hidden="1">#REF!</definedName>
    <definedName name="__APW_RESTORE_DATA6156__" hidden="1">#REF!</definedName>
    <definedName name="__APW_RESTORE_DATA6157__" hidden="1">#REF!</definedName>
    <definedName name="__APW_RESTORE_DATA6158__" hidden="1">#REF!</definedName>
    <definedName name="__APW_RESTORE_DATA6159__" hidden="1">#REF!</definedName>
    <definedName name="__APW_RESTORE_DATA616__" hidden="1">#REF!</definedName>
    <definedName name="__APW_RESTORE_DATA6160__" hidden="1">#REF!</definedName>
    <definedName name="__APW_RESTORE_DATA6161__" hidden="1">#REF!</definedName>
    <definedName name="__APW_RESTORE_DATA6162__" hidden="1">#REF!</definedName>
    <definedName name="__APW_RESTORE_DATA6163__" hidden="1">#REF!</definedName>
    <definedName name="__APW_RESTORE_DATA6164__" hidden="1">#REF!</definedName>
    <definedName name="__APW_RESTORE_DATA6165__" hidden="1">#REF!</definedName>
    <definedName name="__APW_RESTORE_DATA6166__" hidden="1">#REF!</definedName>
    <definedName name="__APW_RESTORE_DATA6167__" hidden="1">#REF!</definedName>
    <definedName name="__APW_RESTORE_DATA6168__" hidden="1">#REF!</definedName>
    <definedName name="__APW_RESTORE_DATA6169__" hidden="1">#REF!</definedName>
    <definedName name="__APW_RESTORE_DATA617__" hidden="1">#REF!</definedName>
    <definedName name="__APW_RESTORE_DATA6170__" hidden="1">#REF!</definedName>
    <definedName name="__APW_RESTORE_DATA6171__" hidden="1">#REF!</definedName>
    <definedName name="__APW_RESTORE_DATA6172__" hidden="1">#REF!</definedName>
    <definedName name="__APW_RESTORE_DATA6173__" hidden="1">#REF!</definedName>
    <definedName name="__APW_RESTORE_DATA6174__" hidden="1">#REF!</definedName>
    <definedName name="__APW_RESTORE_DATA6175__" hidden="1">#REF!</definedName>
    <definedName name="__APW_RESTORE_DATA6176__" hidden="1">#REF!</definedName>
    <definedName name="__APW_RESTORE_DATA6177__" hidden="1">#REF!</definedName>
    <definedName name="__APW_RESTORE_DATA6178__" hidden="1">#REF!</definedName>
    <definedName name="__APW_RESTORE_DATA6179__" hidden="1">#REF!</definedName>
    <definedName name="__APW_RESTORE_DATA618__" hidden="1">#REF!</definedName>
    <definedName name="__APW_RESTORE_DATA6180__" hidden="1">#REF!</definedName>
    <definedName name="__APW_RESTORE_DATA6181__" hidden="1">#REF!</definedName>
    <definedName name="__APW_RESTORE_DATA6182__" hidden="1">#REF!</definedName>
    <definedName name="__APW_RESTORE_DATA6183__" hidden="1">#REF!</definedName>
    <definedName name="__APW_RESTORE_DATA6184__" hidden="1">#REF!</definedName>
    <definedName name="__APW_RESTORE_DATA6185__" hidden="1">#REF!</definedName>
    <definedName name="__APW_RESTORE_DATA6186__" hidden="1">#REF!</definedName>
    <definedName name="__APW_RESTORE_DATA6187__" hidden="1">#REF!</definedName>
    <definedName name="__APW_RESTORE_DATA6188__" hidden="1">#REF!</definedName>
    <definedName name="__APW_RESTORE_DATA6189__" hidden="1">#REF!</definedName>
    <definedName name="__APW_RESTORE_DATA619__" hidden="1">#REF!</definedName>
    <definedName name="__APW_RESTORE_DATA6190__" hidden="1">#REF!</definedName>
    <definedName name="__APW_RESTORE_DATA6191__" hidden="1">#REF!</definedName>
    <definedName name="__APW_RESTORE_DATA6192__" hidden="1">#REF!</definedName>
    <definedName name="__APW_RESTORE_DATA6193__" hidden="1">#REF!</definedName>
    <definedName name="__APW_RESTORE_DATA6194__" hidden="1">#REF!</definedName>
    <definedName name="__APW_RESTORE_DATA6195__" hidden="1">#REF!</definedName>
    <definedName name="__APW_RESTORE_DATA6196__" hidden="1">#REF!</definedName>
    <definedName name="__APW_RESTORE_DATA6197__" hidden="1">#REF!</definedName>
    <definedName name="__APW_RESTORE_DATA6198__" hidden="1">#REF!</definedName>
    <definedName name="__APW_RESTORE_DATA6199__" hidden="1">#REF!</definedName>
    <definedName name="__APW_RESTORE_DATA62__" hidden="1">#REF!</definedName>
    <definedName name="__APW_RESTORE_DATA620__" hidden="1">#REF!</definedName>
    <definedName name="__APW_RESTORE_DATA6200__" hidden="1">#REF!</definedName>
    <definedName name="__APW_RESTORE_DATA6201__" hidden="1">#REF!</definedName>
    <definedName name="__APW_RESTORE_DATA6202__" hidden="1">#REF!</definedName>
    <definedName name="__APW_RESTORE_DATA6203__" hidden="1">#REF!</definedName>
    <definedName name="__APW_RESTORE_DATA6204__" hidden="1">#REF!</definedName>
    <definedName name="__APW_RESTORE_DATA6205__" hidden="1">#REF!</definedName>
    <definedName name="__APW_RESTORE_DATA6206__" hidden="1">#REF!</definedName>
    <definedName name="__APW_RESTORE_DATA6207__" hidden="1">#REF!</definedName>
    <definedName name="__APW_RESTORE_DATA6208__" hidden="1">#REF!</definedName>
    <definedName name="__APW_RESTORE_DATA6209__" hidden="1">#REF!</definedName>
    <definedName name="__APW_RESTORE_DATA621__" hidden="1">#REF!</definedName>
    <definedName name="__APW_RESTORE_DATA6210__" hidden="1">#REF!</definedName>
    <definedName name="__APW_RESTORE_DATA6211__" hidden="1">#REF!</definedName>
    <definedName name="__APW_RESTORE_DATA6212__" hidden="1">#REF!</definedName>
    <definedName name="__APW_RESTORE_DATA6213__" hidden="1">#REF!</definedName>
    <definedName name="__APW_RESTORE_DATA6214__" hidden="1">#REF!</definedName>
    <definedName name="__APW_RESTORE_DATA6215__" hidden="1">#REF!</definedName>
    <definedName name="__APW_RESTORE_DATA6216__" hidden="1">#REF!</definedName>
    <definedName name="__APW_RESTORE_DATA6217__" hidden="1">#REF!</definedName>
    <definedName name="__APW_RESTORE_DATA6218__" hidden="1">#REF!</definedName>
    <definedName name="__APW_RESTORE_DATA6219__" hidden="1">#REF!</definedName>
    <definedName name="__APW_RESTORE_DATA622__" hidden="1">#REF!</definedName>
    <definedName name="__APW_RESTORE_DATA6220__" hidden="1">#REF!</definedName>
    <definedName name="__APW_RESTORE_DATA6221__" hidden="1">#REF!</definedName>
    <definedName name="__APW_RESTORE_DATA6222__" hidden="1">#REF!</definedName>
    <definedName name="__APW_RESTORE_DATA6223__" hidden="1">#REF!</definedName>
    <definedName name="__APW_RESTORE_DATA6224__" hidden="1">#REF!</definedName>
    <definedName name="__APW_RESTORE_DATA6225__" hidden="1">#REF!</definedName>
    <definedName name="__APW_RESTORE_DATA6226__" hidden="1">#REF!</definedName>
    <definedName name="__APW_RESTORE_DATA6227__" hidden="1">#REF!</definedName>
    <definedName name="__APW_RESTORE_DATA6228__" hidden="1">#REF!</definedName>
    <definedName name="__APW_RESTORE_DATA6229__" hidden="1">#REF!</definedName>
    <definedName name="__APW_RESTORE_DATA623__" hidden="1">#REF!</definedName>
    <definedName name="__APW_RESTORE_DATA6230__" hidden="1">#REF!</definedName>
    <definedName name="__APW_RESTORE_DATA6231__" hidden="1">#REF!</definedName>
    <definedName name="__APW_RESTORE_DATA6232__" hidden="1">#REF!</definedName>
    <definedName name="__APW_RESTORE_DATA6233__" hidden="1">#REF!</definedName>
    <definedName name="__APW_RESTORE_DATA6234__" hidden="1">#REF!</definedName>
    <definedName name="__APW_RESTORE_DATA6235__" hidden="1">#REF!</definedName>
    <definedName name="__APW_RESTORE_DATA6236__" hidden="1">#REF!</definedName>
    <definedName name="__APW_RESTORE_DATA6237__" hidden="1">#REF!</definedName>
    <definedName name="__APW_RESTORE_DATA6238__" hidden="1">#REF!</definedName>
    <definedName name="__APW_RESTORE_DATA6239__" hidden="1">#REF!</definedName>
    <definedName name="__APW_RESTORE_DATA624__" hidden="1">#REF!</definedName>
    <definedName name="__APW_RESTORE_DATA6240__" hidden="1">#REF!</definedName>
    <definedName name="__APW_RESTORE_DATA6241__" hidden="1">#REF!</definedName>
    <definedName name="__APW_RESTORE_DATA6242__" hidden="1">#REF!</definedName>
    <definedName name="__APW_RESTORE_DATA6243__" hidden="1">#REF!</definedName>
    <definedName name="__APW_RESTORE_DATA6244__" hidden="1">#REF!</definedName>
    <definedName name="__APW_RESTORE_DATA6245__" hidden="1">#REF!</definedName>
    <definedName name="__APW_RESTORE_DATA6246__" hidden="1">#REF!</definedName>
    <definedName name="__APW_RESTORE_DATA6247__" hidden="1">#REF!</definedName>
    <definedName name="__APW_RESTORE_DATA6248__" hidden="1">#REF!</definedName>
    <definedName name="__APW_RESTORE_DATA6249__" hidden="1">#REF!</definedName>
    <definedName name="__APW_RESTORE_DATA625__" hidden="1">#REF!</definedName>
    <definedName name="__APW_RESTORE_DATA6250__" hidden="1">#REF!</definedName>
    <definedName name="__APW_RESTORE_DATA6251__" hidden="1">#REF!</definedName>
    <definedName name="__APW_RESTORE_DATA6252__" hidden="1">#REF!</definedName>
    <definedName name="__APW_RESTORE_DATA6253__" hidden="1">#REF!</definedName>
    <definedName name="__APW_RESTORE_DATA6254__" hidden="1">#REF!</definedName>
    <definedName name="__APW_RESTORE_DATA6255__" hidden="1">#REF!</definedName>
    <definedName name="__APW_RESTORE_DATA6256__" hidden="1">#REF!</definedName>
    <definedName name="__APW_RESTORE_DATA6257__" hidden="1">#REF!</definedName>
    <definedName name="__APW_RESTORE_DATA6258__" hidden="1">#REF!</definedName>
    <definedName name="__APW_RESTORE_DATA6259__" hidden="1">#REF!</definedName>
    <definedName name="__APW_RESTORE_DATA626__" hidden="1">#REF!</definedName>
    <definedName name="__APW_RESTORE_DATA6260__" hidden="1">#REF!</definedName>
    <definedName name="__APW_RESTORE_DATA6261__" hidden="1">#REF!</definedName>
    <definedName name="__APW_RESTORE_DATA6262__" hidden="1">#REF!</definedName>
    <definedName name="__APW_RESTORE_DATA6263__" hidden="1">#REF!</definedName>
    <definedName name="__APW_RESTORE_DATA6264__" hidden="1">#REF!</definedName>
    <definedName name="__APW_RESTORE_DATA6265__" hidden="1">#REF!</definedName>
    <definedName name="__APW_RESTORE_DATA6266__" hidden="1">#REF!</definedName>
    <definedName name="__APW_RESTORE_DATA6267__" hidden="1">#REF!</definedName>
    <definedName name="__APW_RESTORE_DATA6268__" hidden="1">#REF!</definedName>
    <definedName name="__APW_RESTORE_DATA6269__" hidden="1">#REF!</definedName>
    <definedName name="__APW_RESTORE_DATA627__" hidden="1">#REF!</definedName>
    <definedName name="__APW_RESTORE_DATA6270__" hidden="1">#REF!</definedName>
    <definedName name="__APW_RESTORE_DATA6271__" hidden="1">#REF!</definedName>
    <definedName name="__APW_RESTORE_DATA6272__" hidden="1">#REF!</definedName>
    <definedName name="__APW_RESTORE_DATA6273__" hidden="1">#REF!</definedName>
    <definedName name="__APW_RESTORE_DATA6274__" hidden="1">#REF!</definedName>
    <definedName name="__APW_RESTORE_DATA6275__" hidden="1">#REF!</definedName>
    <definedName name="__APW_RESTORE_DATA6276__" hidden="1">#REF!</definedName>
    <definedName name="__APW_RESTORE_DATA6277__" hidden="1">#REF!</definedName>
    <definedName name="__APW_RESTORE_DATA6278__" hidden="1">#REF!</definedName>
    <definedName name="__APW_RESTORE_DATA6279__" hidden="1">#REF!</definedName>
    <definedName name="__APW_RESTORE_DATA628__" hidden="1">#REF!</definedName>
    <definedName name="__APW_RESTORE_DATA6280__" hidden="1">#REF!</definedName>
    <definedName name="__APW_RESTORE_DATA6281__" hidden="1">#REF!</definedName>
    <definedName name="__APW_RESTORE_DATA6282__" hidden="1">#REF!</definedName>
    <definedName name="__APW_RESTORE_DATA6283__" hidden="1">#REF!</definedName>
    <definedName name="__APW_RESTORE_DATA6284__" hidden="1">#REF!</definedName>
    <definedName name="__APW_RESTORE_DATA6285__" hidden="1">#REF!</definedName>
    <definedName name="__APW_RESTORE_DATA6286__" hidden="1">#REF!</definedName>
    <definedName name="__APW_RESTORE_DATA6287__" hidden="1">#REF!</definedName>
    <definedName name="__APW_RESTORE_DATA6288__" hidden="1">#REF!</definedName>
    <definedName name="__APW_RESTORE_DATA6289__" hidden="1">#REF!</definedName>
    <definedName name="__APW_RESTORE_DATA629__" hidden="1">#REF!</definedName>
    <definedName name="__APW_RESTORE_DATA6290__" hidden="1">#REF!</definedName>
    <definedName name="__APW_RESTORE_DATA6291__" hidden="1">#REF!</definedName>
    <definedName name="__APW_RESTORE_DATA6292__" hidden="1">#REF!</definedName>
    <definedName name="__APW_RESTORE_DATA6293__" hidden="1">#REF!</definedName>
    <definedName name="__APW_RESTORE_DATA6294__" hidden="1">#REF!</definedName>
    <definedName name="__APW_RESTORE_DATA6295__" hidden="1">#REF!</definedName>
    <definedName name="__APW_RESTORE_DATA6296__" hidden="1">#REF!</definedName>
    <definedName name="__APW_RESTORE_DATA6297__" hidden="1">#REF!</definedName>
    <definedName name="__APW_RESTORE_DATA6298__" hidden="1">#REF!</definedName>
    <definedName name="__APW_RESTORE_DATA6299__" hidden="1">#REF!</definedName>
    <definedName name="__APW_RESTORE_DATA63__" hidden="1">#REF!</definedName>
    <definedName name="__APW_RESTORE_DATA630__" hidden="1">#REF!</definedName>
    <definedName name="__APW_RESTORE_DATA6300__" hidden="1">#REF!</definedName>
    <definedName name="__APW_RESTORE_DATA6301__" hidden="1">#REF!</definedName>
    <definedName name="__APW_RESTORE_DATA6302__" hidden="1">#REF!</definedName>
    <definedName name="__APW_RESTORE_DATA6303__" hidden="1">#REF!</definedName>
    <definedName name="__APW_RESTORE_DATA6304__" hidden="1">#REF!</definedName>
    <definedName name="__APW_RESTORE_DATA6305__" hidden="1">#REF!</definedName>
    <definedName name="__APW_RESTORE_DATA6306__" hidden="1">#REF!</definedName>
    <definedName name="__APW_RESTORE_DATA6307__" hidden="1">#REF!</definedName>
    <definedName name="__APW_RESTORE_DATA6308__" hidden="1">#REF!</definedName>
    <definedName name="__APW_RESTORE_DATA6309__" hidden="1">#REF!</definedName>
    <definedName name="__APW_RESTORE_DATA631__" hidden="1">#REF!</definedName>
    <definedName name="__APW_RESTORE_DATA6310__" hidden="1">#REF!</definedName>
    <definedName name="__APW_RESTORE_DATA6311__" hidden="1">#REF!</definedName>
    <definedName name="__APW_RESTORE_DATA6312__" hidden="1">#REF!</definedName>
    <definedName name="__APW_RESTORE_DATA6313__" hidden="1">#REF!</definedName>
    <definedName name="__APW_RESTORE_DATA6314__" hidden="1">#REF!</definedName>
    <definedName name="__APW_RESTORE_DATA6315__" hidden="1">#REF!</definedName>
    <definedName name="__APW_RESTORE_DATA6316__" hidden="1">#REF!</definedName>
    <definedName name="__APW_RESTORE_DATA6317__" hidden="1">#REF!</definedName>
    <definedName name="__APW_RESTORE_DATA6318__" hidden="1">#REF!</definedName>
    <definedName name="__APW_RESTORE_DATA6319__" hidden="1">#REF!</definedName>
    <definedName name="__APW_RESTORE_DATA632__" hidden="1">#REF!</definedName>
    <definedName name="__APW_RESTORE_DATA6320__" hidden="1">#REF!</definedName>
    <definedName name="__APW_RESTORE_DATA6321__" hidden="1">#REF!</definedName>
    <definedName name="__APW_RESTORE_DATA6322__" hidden="1">#REF!</definedName>
    <definedName name="__APW_RESTORE_DATA6323__" hidden="1">#REF!</definedName>
    <definedName name="__APW_RESTORE_DATA6324__" hidden="1">#REF!</definedName>
    <definedName name="__APW_RESTORE_DATA6325__" hidden="1">#REF!</definedName>
    <definedName name="__APW_RESTORE_DATA6326__" hidden="1">#REF!</definedName>
    <definedName name="__APW_RESTORE_DATA6327__" hidden="1">#REF!</definedName>
    <definedName name="__APW_RESTORE_DATA6328__" hidden="1">#REF!</definedName>
    <definedName name="__APW_RESTORE_DATA6329__" hidden="1">#REF!</definedName>
    <definedName name="__APW_RESTORE_DATA633__" hidden="1">#REF!</definedName>
    <definedName name="__APW_RESTORE_DATA6330__" hidden="1">#REF!</definedName>
    <definedName name="__APW_RESTORE_DATA6331__" hidden="1">#REF!</definedName>
    <definedName name="__APW_RESTORE_DATA6332__" hidden="1">#REF!</definedName>
    <definedName name="__APW_RESTORE_DATA6333__" hidden="1">#REF!</definedName>
    <definedName name="__APW_RESTORE_DATA6334__" hidden="1">#REF!</definedName>
    <definedName name="__APW_RESTORE_DATA6335__" hidden="1">#REF!</definedName>
    <definedName name="__APW_RESTORE_DATA6336__" hidden="1">#REF!</definedName>
    <definedName name="__APW_RESTORE_DATA6337__" hidden="1">#REF!</definedName>
    <definedName name="__APW_RESTORE_DATA6338__" hidden="1">#REF!</definedName>
    <definedName name="__APW_RESTORE_DATA6339__" hidden="1">#REF!</definedName>
    <definedName name="__APW_RESTORE_DATA634__" hidden="1">#REF!</definedName>
    <definedName name="__APW_RESTORE_DATA6340__" hidden="1">#REF!</definedName>
    <definedName name="__APW_RESTORE_DATA6341__" hidden="1">#REF!</definedName>
    <definedName name="__APW_RESTORE_DATA6342__" hidden="1">#REF!</definedName>
    <definedName name="__APW_RESTORE_DATA6343__" hidden="1">#REF!</definedName>
    <definedName name="__APW_RESTORE_DATA6344__" hidden="1">#REF!</definedName>
    <definedName name="__APW_RESTORE_DATA6345__" hidden="1">#REF!</definedName>
    <definedName name="__APW_RESTORE_DATA6346__" hidden="1">#REF!</definedName>
    <definedName name="__APW_RESTORE_DATA6347__" hidden="1">#REF!</definedName>
    <definedName name="__APW_RESTORE_DATA6348__" hidden="1">#REF!</definedName>
    <definedName name="__APW_RESTORE_DATA6349__" hidden="1">#REF!</definedName>
    <definedName name="__APW_RESTORE_DATA635__" hidden="1">#REF!</definedName>
    <definedName name="__APW_RESTORE_DATA6350__" hidden="1">#REF!</definedName>
    <definedName name="__APW_RESTORE_DATA6351__" hidden="1">#REF!</definedName>
    <definedName name="__APW_RESTORE_DATA6352__" hidden="1">#REF!</definedName>
    <definedName name="__APW_RESTORE_DATA6353__" hidden="1">#REF!</definedName>
    <definedName name="__APW_RESTORE_DATA6354__" hidden="1">#REF!</definedName>
    <definedName name="__APW_RESTORE_DATA6355__" hidden="1">#REF!</definedName>
    <definedName name="__APW_RESTORE_DATA6356__" hidden="1">#REF!</definedName>
    <definedName name="__APW_RESTORE_DATA6357__" hidden="1">#REF!</definedName>
    <definedName name="__APW_RESTORE_DATA6358__" hidden="1">#REF!</definedName>
    <definedName name="__APW_RESTORE_DATA6359__" hidden="1">#REF!</definedName>
    <definedName name="__APW_RESTORE_DATA636__" hidden="1">#REF!</definedName>
    <definedName name="__APW_RESTORE_DATA6360__" hidden="1">#REF!</definedName>
    <definedName name="__APW_RESTORE_DATA6361__" hidden="1">#REF!</definedName>
    <definedName name="__APW_RESTORE_DATA6362__" hidden="1">#REF!</definedName>
    <definedName name="__APW_RESTORE_DATA6363__" hidden="1">#REF!</definedName>
    <definedName name="__APW_RESTORE_DATA6364__" hidden="1">#REF!</definedName>
    <definedName name="__APW_RESTORE_DATA6365__" hidden="1">#REF!</definedName>
    <definedName name="__APW_RESTORE_DATA6366__" hidden="1">#REF!</definedName>
    <definedName name="__APW_RESTORE_DATA6367__" hidden="1">#REF!</definedName>
    <definedName name="__APW_RESTORE_DATA6368__" hidden="1">#REF!</definedName>
    <definedName name="__APW_RESTORE_DATA6369__" hidden="1">#REF!</definedName>
    <definedName name="__APW_RESTORE_DATA637__" hidden="1">#REF!</definedName>
    <definedName name="__APW_RESTORE_DATA6370__" hidden="1">#REF!</definedName>
    <definedName name="__APW_RESTORE_DATA6371__" hidden="1">#REF!</definedName>
    <definedName name="__APW_RESTORE_DATA6372__" hidden="1">#REF!</definedName>
    <definedName name="__APW_RESTORE_DATA6373__" hidden="1">#REF!</definedName>
    <definedName name="__APW_RESTORE_DATA6374__" hidden="1">#REF!</definedName>
    <definedName name="__APW_RESTORE_DATA6375__" hidden="1">#REF!</definedName>
    <definedName name="__APW_RESTORE_DATA6376__" hidden="1">#REF!</definedName>
    <definedName name="__APW_RESTORE_DATA6377__" hidden="1">#REF!</definedName>
    <definedName name="__APW_RESTORE_DATA6378__" hidden="1">#REF!</definedName>
    <definedName name="__APW_RESTORE_DATA6379__" hidden="1">#REF!</definedName>
    <definedName name="__APW_RESTORE_DATA638__" hidden="1">#REF!</definedName>
    <definedName name="__APW_RESTORE_DATA6380__" hidden="1">#REF!</definedName>
    <definedName name="__APW_RESTORE_DATA6381__" hidden="1">#REF!</definedName>
    <definedName name="__APW_RESTORE_DATA6382__" hidden="1">#REF!</definedName>
    <definedName name="__APW_RESTORE_DATA6383__" hidden="1">#REF!</definedName>
    <definedName name="__APW_RESTORE_DATA6384__" hidden="1">#REF!</definedName>
    <definedName name="__APW_RESTORE_DATA6385__" hidden="1">#REF!</definedName>
    <definedName name="__APW_RESTORE_DATA6386__" hidden="1">#REF!</definedName>
    <definedName name="__APW_RESTORE_DATA6387__" hidden="1">#REF!</definedName>
    <definedName name="__APW_RESTORE_DATA6388__" hidden="1">#REF!</definedName>
    <definedName name="__APW_RESTORE_DATA6389__" hidden="1">#REF!</definedName>
    <definedName name="__APW_RESTORE_DATA639__" hidden="1">#REF!</definedName>
    <definedName name="__APW_RESTORE_DATA6390__" hidden="1">#REF!</definedName>
    <definedName name="__APW_RESTORE_DATA6391__" hidden="1">#REF!</definedName>
    <definedName name="__APW_RESTORE_DATA6392__" hidden="1">#REF!</definedName>
    <definedName name="__APW_RESTORE_DATA6393__" hidden="1">#REF!</definedName>
    <definedName name="__APW_RESTORE_DATA6394__" hidden="1">#REF!</definedName>
    <definedName name="__APW_RESTORE_DATA6395__" hidden="1">#REF!</definedName>
    <definedName name="__APW_RESTORE_DATA6396__" hidden="1">#REF!</definedName>
    <definedName name="__APW_RESTORE_DATA6397__" hidden="1">#REF!</definedName>
    <definedName name="__APW_RESTORE_DATA6398__" hidden="1">#REF!</definedName>
    <definedName name="__APW_RESTORE_DATA6399__" hidden="1">#REF!</definedName>
    <definedName name="__APW_RESTORE_DATA64__" hidden="1">#REF!</definedName>
    <definedName name="__APW_RESTORE_DATA640__" hidden="1">#REF!</definedName>
    <definedName name="__APW_RESTORE_DATA6400__" hidden="1">#REF!</definedName>
    <definedName name="__APW_RESTORE_DATA6401__" hidden="1">#REF!</definedName>
    <definedName name="__APW_RESTORE_DATA6402__" hidden="1">#REF!</definedName>
    <definedName name="__APW_RESTORE_DATA6403__" hidden="1">#REF!</definedName>
    <definedName name="__APW_RESTORE_DATA6404__" hidden="1">#REF!</definedName>
    <definedName name="__APW_RESTORE_DATA6405__" hidden="1">#REF!</definedName>
    <definedName name="__APW_RESTORE_DATA6406__" hidden="1">#REF!</definedName>
    <definedName name="__APW_RESTORE_DATA6407__" hidden="1">#REF!</definedName>
    <definedName name="__APW_RESTORE_DATA6408__" hidden="1">#REF!</definedName>
    <definedName name="__APW_RESTORE_DATA6409__" hidden="1">#REF!</definedName>
    <definedName name="__APW_RESTORE_DATA641__" hidden="1">#REF!</definedName>
    <definedName name="__APW_RESTORE_DATA6410__" hidden="1">#REF!</definedName>
    <definedName name="__APW_RESTORE_DATA6411__" hidden="1">#REF!</definedName>
    <definedName name="__APW_RESTORE_DATA6412__" hidden="1">#REF!</definedName>
    <definedName name="__APW_RESTORE_DATA6413__" hidden="1">#REF!</definedName>
    <definedName name="__APW_RESTORE_DATA6414__" hidden="1">#REF!</definedName>
    <definedName name="__APW_RESTORE_DATA6415__" hidden="1">#REF!</definedName>
    <definedName name="__APW_RESTORE_DATA6416__" hidden="1">#REF!</definedName>
    <definedName name="__APW_RESTORE_DATA6417__" hidden="1">#REF!</definedName>
    <definedName name="__APW_RESTORE_DATA6418__" hidden="1">#REF!</definedName>
    <definedName name="__APW_RESTORE_DATA6419__" hidden="1">#REF!</definedName>
    <definedName name="__APW_RESTORE_DATA642__" hidden="1">#REF!</definedName>
    <definedName name="__APW_RESTORE_DATA6420__" hidden="1">#REF!</definedName>
    <definedName name="__APW_RESTORE_DATA6421__" hidden="1">#REF!</definedName>
    <definedName name="__APW_RESTORE_DATA6422__" hidden="1">#REF!</definedName>
    <definedName name="__APW_RESTORE_DATA6423__" hidden="1">#REF!</definedName>
    <definedName name="__APW_RESTORE_DATA6424__" hidden="1">#REF!</definedName>
    <definedName name="__APW_RESTORE_DATA6425__" hidden="1">#REF!</definedName>
    <definedName name="__APW_RESTORE_DATA6426__" hidden="1">#REF!</definedName>
    <definedName name="__APW_RESTORE_DATA6427__" hidden="1">#REF!</definedName>
    <definedName name="__APW_RESTORE_DATA6428__" hidden="1">#REF!</definedName>
    <definedName name="__APW_RESTORE_DATA6429__" hidden="1">#REF!</definedName>
    <definedName name="__APW_RESTORE_DATA643__" hidden="1">#REF!</definedName>
    <definedName name="__APW_RESTORE_DATA6430__" hidden="1">#REF!</definedName>
    <definedName name="__APW_RESTORE_DATA6431__" hidden="1">#REF!</definedName>
    <definedName name="__APW_RESTORE_DATA6432__" hidden="1">#REF!</definedName>
    <definedName name="__APW_RESTORE_DATA6433__" hidden="1">#REF!</definedName>
    <definedName name="__APW_RESTORE_DATA6434__" hidden="1">#REF!</definedName>
    <definedName name="__APW_RESTORE_DATA6435__" hidden="1">#REF!</definedName>
    <definedName name="__APW_RESTORE_DATA6436__" hidden="1">#REF!</definedName>
    <definedName name="__APW_RESTORE_DATA6437__" hidden="1">#REF!</definedName>
    <definedName name="__APW_RESTORE_DATA6438__" hidden="1">#REF!</definedName>
    <definedName name="__APW_RESTORE_DATA6439__" hidden="1">#REF!</definedName>
    <definedName name="__APW_RESTORE_DATA644__" hidden="1">#REF!</definedName>
    <definedName name="__APW_RESTORE_DATA6440__" hidden="1">#REF!</definedName>
    <definedName name="__APW_RESTORE_DATA6441__" hidden="1">#REF!</definedName>
    <definedName name="__APW_RESTORE_DATA6442__" hidden="1">#REF!</definedName>
    <definedName name="__APW_RESTORE_DATA6443__" hidden="1">#REF!</definedName>
    <definedName name="__APW_RESTORE_DATA6444__" hidden="1">#REF!</definedName>
    <definedName name="__APW_RESTORE_DATA6445__" hidden="1">#REF!</definedName>
    <definedName name="__APW_RESTORE_DATA6446__" hidden="1">#REF!</definedName>
    <definedName name="__APW_RESTORE_DATA6447__" hidden="1">#REF!</definedName>
    <definedName name="__APW_RESTORE_DATA6448__" hidden="1">#REF!</definedName>
    <definedName name="__APW_RESTORE_DATA6449__" hidden="1">#REF!</definedName>
    <definedName name="__APW_RESTORE_DATA645__" hidden="1">#REF!</definedName>
    <definedName name="__APW_RESTORE_DATA6450__" hidden="1">#REF!</definedName>
    <definedName name="__APW_RESTORE_DATA6451__" hidden="1">#REF!</definedName>
    <definedName name="__APW_RESTORE_DATA6452__" hidden="1">#REF!</definedName>
    <definedName name="__APW_RESTORE_DATA6453__" hidden="1">#REF!</definedName>
    <definedName name="__APW_RESTORE_DATA6454__" hidden="1">#REF!</definedName>
    <definedName name="__APW_RESTORE_DATA6455__" hidden="1">#REF!</definedName>
    <definedName name="__APW_RESTORE_DATA6456__" hidden="1">#REF!</definedName>
    <definedName name="__APW_RESTORE_DATA6457__" hidden="1">#REF!</definedName>
    <definedName name="__APW_RESTORE_DATA6458__" hidden="1">#REF!</definedName>
    <definedName name="__APW_RESTORE_DATA6459__" hidden="1">#REF!</definedName>
    <definedName name="__APW_RESTORE_DATA646__" hidden="1">#REF!</definedName>
    <definedName name="__APW_RESTORE_DATA6460__" hidden="1">#REF!</definedName>
    <definedName name="__APW_RESTORE_DATA6461__" hidden="1">#REF!</definedName>
    <definedName name="__APW_RESTORE_DATA6462__" hidden="1">#REF!</definedName>
    <definedName name="__APW_RESTORE_DATA6463__" hidden="1">#REF!</definedName>
    <definedName name="__APW_RESTORE_DATA6464__" hidden="1">#REF!</definedName>
    <definedName name="__APW_RESTORE_DATA6465__" hidden="1">#REF!</definedName>
    <definedName name="__APW_RESTORE_DATA6466__" hidden="1">#REF!</definedName>
    <definedName name="__APW_RESTORE_DATA6467__" hidden="1">#REF!</definedName>
    <definedName name="__APW_RESTORE_DATA6468__" hidden="1">#REF!</definedName>
    <definedName name="__APW_RESTORE_DATA6469__" hidden="1">#REF!</definedName>
    <definedName name="__APW_RESTORE_DATA647__" hidden="1">#REF!</definedName>
    <definedName name="__APW_RESTORE_DATA6470__" hidden="1">#REF!</definedName>
    <definedName name="__APW_RESTORE_DATA6471__" hidden="1">#REF!</definedName>
    <definedName name="__APW_RESTORE_DATA6472__" hidden="1">#REF!</definedName>
    <definedName name="__APW_RESTORE_DATA6473__" hidden="1">#REF!</definedName>
    <definedName name="__APW_RESTORE_DATA6474__" hidden="1">#REF!</definedName>
    <definedName name="__APW_RESTORE_DATA6475__" hidden="1">#REF!</definedName>
    <definedName name="__APW_RESTORE_DATA6476__" hidden="1">#REF!</definedName>
    <definedName name="__APW_RESTORE_DATA6477__" hidden="1">#REF!</definedName>
    <definedName name="__APW_RESTORE_DATA6478__" hidden="1">#REF!</definedName>
    <definedName name="__APW_RESTORE_DATA6479__" hidden="1">#REF!</definedName>
    <definedName name="__APW_RESTORE_DATA648__" hidden="1">#REF!</definedName>
    <definedName name="__APW_RESTORE_DATA6480__" hidden="1">#REF!</definedName>
    <definedName name="__APW_RESTORE_DATA6481__" hidden="1">#REF!</definedName>
    <definedName name="__APW_RESTORE_DATA6482__" hidden="1">#REF!</definedName>
    <definedName name="__APW_RESTORE_DATA6483__" hidden="1">#REF!</definedName>
    <definedName name="__APW_RESTORE_DATA6484__" hidden="1">#REF!</definedName>
    <definedName name="__APW_RESTORE_DATA6485__" hidden="1">#REF!</definedName>
    <definedName name="__APW_RESTORE_DATA6486__" hidden="1">#REF!</definedName>
    <definedName name="__APW_RESTORE_DATA6487__" hidden="1">#REF!</definedName>
    <definedName name="__APW_RESTORE_DATA6488__" hidden="1">#REF!</definedName>
    <definedName name="__APW_RESTORE_DATA6489__" hidden="1">#REF!</definedName>
    <definedName name="__APW_RESTORE_DATA649__" hidden="1">#REF!</definedName>
    <definedName name="__APW_RESTORE_DATA6490__" hidden="1">#REF!</definedName>
    <definedName name="__APW_RESTORE_DATA6491__" hidden="1">#REF!</definedName>
    <definedName name="__APW_RESTORE_DATA6492__" hidden="1">#REF!</definedName>
    <definedName name="__APW_RESTORE_DATA6493__" hidden="1">#REF!</definedName>
    <definedName name="__APW_RESTORE_DATA6494__" hidden="1">#REF!</definedName>
    <definedName name="__APW_RESTORE_DATA6495__" hidden="1">#REF!</definedName>
    <definedName name="__APW_RESTORE_DATA6496__" hidden="1">#REF!</definedName>
    <definedName name="__APW_RESTORE_DATA6497__" hidden="1">#REF!</definedName>
    <definedName name="__APW_RESTORE_DATA6498__" hidden="1">#REF!</definedName>
    <definedName name="__APW_RESTORE_DATA6499__" hidden="1">#REF!</definedName>
    <definedName name="__APW_RESTORE_DATA65__" hidden="1">#REF!</definedName>
    <definedName name="__APW_RESTORE_DATA650__" hidden="1">#REF!</definedName>
    <definedName name="__APW_RESTORE_DATA6500__" hidden="1">#REF!</definedName>
    <definedName name="__APW_RESTORE_DATA6501__" hidden="1">#REF!</definedName>
    <definedName name="__APW_RESTORE_DATA6502__" hidden="1">#REF!</definedName>
    <definedName name="__APW_RESTORE_DATA6503__" hidden="1">#REF!</definedName>
    <definedName name="__APW_RESTORE_DATA6504__" hidden="1">#REF!</definedName>
    <definedName name="__APW_RESTORE_DATA6505__" hidden="1">#REF!</definedName>
    <definedName name="__APW_RESTORE_DATA6506__" hidden="1">#REF!</definedName>
    <definedName name="__APW_RESTORE_DATA6507__" hidden="1">#REF!</definedName>
    <definedName name="__APW_RESTORE_DATA6508__" hidden="1">#REF!</definedName>
    <definedName name="__APW_RESTORE_DATA6509__" hidden="1">#REF!</definedName>
    <definedName name="__APW_RESTORE_DATA651__" hidden="1">#REF!</definedName>
    <definedName name="__APW_RESTORE_DATA6510__" hidden="1">#REF!</definedName>
    <definedName name="__APW_RESTORE_DATA6511__" hidden="1">#REF!</definedName>
    <definedName name="__APW_RESTORE_DATA6512__" hidden="1">#REF!</definedName>
    <definedName name="__APW_RESTORE_DATA6513__" hidden="1">#REF!</definedName>
    <definedName name="__APW_RESTORE_DATA6514__" hidden="1">#REF!</definedName>
    <definedName name="__APW_RESTORE_DATA6515__" hidden="1">#REF!</definedName>
    <definedName name="__APW_RESTORE_DATA6516__" hidden="1">#REF!</definedName>
    <definedName name="__APW_RESTORE_DATA6517__" hidden="1">#REF!</definedName>
    <definedName name="__APW_RESTORE_DATA6518__" hidden="1">#REF!</definedName>
    <definedName name="__APW_RESTORE_DATA6519__" hidden="1">#REF!</definedName>
    <definedName name="__APW_RESTORE_DATA652__" hidden="1">#REF!</definedName>
    <definedName name="__APW_RESTORE_DATA6520__" hidden="1">#REF!</definedName>
    <definedName name="__APW_RESTORE_DATA6521__" hidden="1">#REF!</definedName>
    <definedName name="__APW_RESTORE_DATA6522__" hidden="1">#REF!</definedName>
    <definedName name="__APW_RESTORE_DATA6523__" hidden="1">#REF!</definedName>
    <definedName name="__APW_RESTORE_DATA6524__" hidden="1">#REF!</definedName>
    <definedName name="__APW_RESTORE_DATA6525__" hidden="1">#REF!</definedName>
    <definedName name="__APW_RESTORE_DATA6526__" hidden="1">#REF!</definedName>
    <definedName name="__APW_RESTORE_DATA6527__" hidden="1">#REF!</definedName>
    <definedName name="__APW_RESTORE_DATA6528__" hidden="1">#REF!</definedName>
    <definedName name="__APW_RESTORE_DATA6529__" hidden="1">#REF!</definedName>
    <definedName name="__APW_RESTORE_DATA653__" hidden="1">#REF!</definedName>
    <definedName name="__APW_RESTORE_DATA6530__" hidden="1">#REF!</definedName>
    <definedName name="__APW_RESTORE_DATA6531__" hidden="1">#REF!</definedName>
    <definedName name="__APW_RESTORE_DATA6532__" hidden="1">#REF!</definedName>
    <definedName name="__APW_RESTORE_DATA6533__" hidden="1">#REF!</definedName>
    <definedName name="__APW_RESTORE_DATA6534__" hidden="1">#REF!</definedName>
    <definedName name="__APW_RESTORE_DATA6535__" hidden="1">#REF!</definedName>
    <definedName name="__APW_RESTORE_DATA6536__" hidden="1">#REF!</definedName>
    <definedName name="__APW_RESTORE_DATA6537__" hidden="1">#REF!</definedName>
    <definedName name="__APW_RESTORE_DATA6538__" hidden="1">#REF!</definedName>
    <definedName name="__APW_RESTORE_DATA6539__" hidden="1">#REF!</definedName>
    <definedName name="__APW_RESTORE_DATA654__" hidden="1">#REF!</definedName>
    <definedName name="__APW_RESTORE_DATA6540__" hidden="1">#REF!</definedName>
    <definedName name="__APW_RESTORE_DATA6541__" hidden="1">#REF!</definedName>
    <definedName name="__APW_RESTORE_DATA6542__" hidden="1">#REF!</definedName>
    <definedName name="__APW_RESTORE_DATA6543__" hidden="1">#REF!</definedName>
    <definedName name="__APW_RESTORE_DATA6544__" hidden="1">#REF!</definedName>
    <definedName name="__APW_RESTORE_DATA6545__" hidden="1">#REF!</definedName>
    <definedName name="__APW_RESTORE_DATA6546__" hidden="1">#REF!</definedName>
    <definedName name="__APW_RESTORE_DATA6547__" hidden="1">#REF!</definedName>
    <definedName name="__APW_RESTORE_DATA6548__" hidden="1">#REF!</definedName>
    <definedName name="__APW_RESTORE_DATA6549__" hidden="1">#REF!</definedName>
    <definedName name="__APW_RESTORE_DATA655__" hidden="1">#REF!</definedName>
    <definedName name="__APW_RESTORE_DATA6550__" hidden="1">#REF!</definedName>
    <definedName name="__APW_RESTORE_DATA6551__" hidden="1">#REF!</definedName>
    <definedName name="__APW_RESTORE_DATA6552__" hidden="1">#REF!</definedName>
    <definedName name="__APW_RESTORE_DATA6553__" hidden="1">#REF!</definedName>
    <definedName name="__APW_RESTORE_DATA6554__" hidden="1">#REF!</definedName>
    <definedName name="__APW_RESTORE_DATA6555__" hidden="1">#REF!</definedName>
    <definedName name="__APW_RESTORE_DATA6556__" hidden="1">#REF!</definedName>
    <definedName name="__APW_RESTORE_DATA6557__" hidden="1">#REF!</definedName>
    <definedName name="__APW_RESTORE_DATA6558__" hidden="1">#REF!</definedName>
    <definedName name="__APW_RESTORE_DATA6559__" hidden="1">#REF!</definedName>
    <definedName name="__APW_RESTORE_DATA656__" hidden="1">#REF!</definedName>
    <definedName name="__APW_RESTORE_DATA6560__" hidden="1">#REF!</definedName>
    <definedName name="__APW_RESTORE_DATA6561__" hidden="1">#REF!</definedName>
    <definedName name="__APW_RESTORE_DATA6562__" hidden="1">#REF!</definedName>
    <definedName name="__APW_RESTORE_DATA6563__" hidden="1">#REF!</definedName>
    <definedName name="__APW_RESTORE_DATA6564__" hidden="1">#REF!</definedName>
    <definedName name="__APW_RESTORE_DATA6565__" hidden="1">#REF!</definedName>
    <definedName name="__APW_RESTORE_DATA6566__" hidden="1">#REF!</definedName>
    <definedName name="__APW_RESTORE_DATA6567__" hidden="1">#REF!</definedName>
    <definedName name="__APW_RESTORE_DATA6568__" hidden="1">#REF!</definedName>
    <definedName name="__APW_RESTORE_DATA6569__" hidden="1">#REF!</definedName>
    <definedName name="__APW_RESTORE_DATA657__" hidden="1">#REF!</definedName>
    <definedName name="__APW_RESTORE_DATA6570__" hidden="1">#REF!</definedName>
    <definedName name="__APW_RESTORE_DATA6571__" hidden="1">#REF!</definedName>
    <definedName name="__APW_RESTORE_DATA6572__" hidden="1">#REF!</definedName>
    <definedName name="__APW_RESTORE_DATA6573__" hidden="1">#REF!</definedName>
    <definedName name="__APW_RESTORE_DATA6574__" hidden="1">#REF!</definedName>
    <definedName name="__APW_RESTORE_DATA6575__" hidden="1">#REF!</definedName>
    <definedName name="__APW_RESTORE_DATA6576__" hidden="1">#REF!</definedName>
    <definedName name="__APW_RESTORE_DATA6577__" hidden="1">#REF!</definedName>
    <definedName name="__APW_RESTORE_DATA6578__" hidden="1">#REF!</definedName>
    <definedName name="__APW_RESTORE_DATA6579__" hidden="1">#REF!</definedName>
    <definedName name="__APW_RESTORE_DATA658__" hidden="1">#REF!</definedName>
    <definedName name="__APW_RESTORE_DATA6580__" hidden="1">#REF!</definedName>
    <definedName name="__APW_RESTORE_DATA6581__" hidden="1">#REF!</definedName>
    <definedName name="__APW_RESTORE_DATA6582__" hidden="1">#REF!</definedName>
    <definedName name="__APW_RESTORE_DATA6583__" hidden="1">#REF!</definedName>
    <definedName name="__APW_RESTORE_DATA6584__" hidden="1">#REF!</definedName>
    <definedName name="__APW_RESTORE_DATA6585__" hidden="1">#REF!</definedName>
    <definedName name="__APW_RESTORE_DATA6586__" hidden="1">#REF!</definedName>
    <definedName name="__APW_RESTORE_DATA6587__" hidden="1">#REF!</definedName>
    <definedName name="__APW_RESTORE_DATA6588__" hidden="1">#REF!</definedName>
    <definedName name="__APW_RESTORE_DATA6589__" hidden="1">#REF!</definedName>
    <definedName name="__APW_RESTORE_DATA659__" hidden="1">#REF!</definedName>
    <definedName name="__APW_RESTORE_DATA6590__" hidden="1">#REF!</definedName>
    <definedName name="__APW_RESTORE_DATA6591__" hidden="1">#REF!</definedName>
    <definedName name="__APW_RESTORE_DATA6592__" hidden="1">#REF!</definedName>
    <definedName name="__APW_RESTORE_DATA6593__" hidden="1">#REF!</definedName>
    <definedName name="__APW_RESTORE_DATA6594__" hidden="1">#REF!</definedName>
    <definedName name="__APW_RESTORE_DATA6595__" hidden="1">#REF!</definedName>
    <definedName name="__APW_RESTORE_DATA6596__" hidden="1">#REF!</definedName>
    <definedName name="__APW_RESTORE_DATA6597__" hidden="1">#REF!</definedName>
    <definedName name="__APW_RESTORE_DATA6598__" hidden="1">#REF!</definedName>
    <definedName name="__APW_RESTORE_DATA6599__" hidden="1">#REF!</definedName>
    <definedName name="__APW_RESTORE_DATA66__" hidden="1">#REF!</definedName>
    <definedName name="__APW_RESTORE_DATA660__" hidden="1">#REF!</definedName>
    <definedName name="__APW_RESTORE_DATA6600__" hidden="1">#REF!</definedName>
    <definedName name="__APW_RESTORE_DATA6601__" hidden="1">#REF!</definedName>
    <definedName name="__APW_RESTORE_DATA6602__" hidden="1">#REF!</definedName>
    <definedName name="__APW_RESTORE_DATA6603__" hidden="1">#REF!</definedName>
    <definedName name="__APW_RESTORE_DATA6604__" hidden="1">#REF!</definedName>
    <definedName name="__APW_RESTORE_DATA6605__" hidden="1">#REF!</definedName>
    <definedName name="__APW_RESTORE_DATA6606__" hidden="1">#REF!</definedName>
    <definedName name="__APW_RESTORE_DATA6607__" hidden="1">#REF!</definedName>
    <definedName name="__APW_RESTORE_DATA6608__" hidden="1">#REF!</definedName>
    <definedName name="__APW_RESTORE_DATA6609__" hidden="1">#REF!</definedName>
    <definedName name="__APW_RESTORE_DATA661__" hidden="1">#REF!</definedName>
    <definedName name="__APW_RESTORE_DATA6610__" hidden="1">#REF!</definedName>
    <definedName name="__APW_RESTORE_DATA6611__" hidden="1">#REF!</definedName>
    <definedName name="__APW_RESTORE_DATA6612__" hidden="1">#REF!</definedName>
    <definedName name="__APW_RESTORE_DATA6613__" hidden="1">#REF!</definedName>
    <definedName name="__APW_RESTORE_DATA6614__" hidden="1">#REF!</definedName>
    <definedName name="__APW_RESTORE_DATA6615__" hidden="1">#REF!</definedName>
    <definedName name="__APW_RESTORE_DATA6616__" hidden="1">#REF!</definedName>
    <definedName name="__APW_RESTORE_DATA6617__" hidden="1">#REF!</definedName>
    <definedName name="__APW_RESTORE_DATA6618__" hidden="1">#REF!</definedName>
    <definedName name="__APW_RESTORE_DATA6619__" hidden="1">#REF!</definedName>
    <definedName name="__APW_RESTORE_DATA662__" hidden="1">#REF!</definedName>
    <definedName name="__APW_RESTORE_DATA6620__" hidden="1">#REF!</definedName>
    <definedName name="__APW_RESTORE_DATA6621__" hidden="1">#REF!</definedName>
    <definedName name="__APW_RESTORE_DATA6622__" hidden="1">#REF!</definedName>
    <definedName name="__APW_RESTORE_DATA6623__" hidden="1">#REF!</definedName>
    <definedName name="__APW_RESTORE_DATA6624__" hidden="1">#REF!</definedName>
    <definedName name="__APW_RESTORE_DATA6625__" hidden="1">#REF!</definedName>
    <definedName name="__APW_RESTORE_DATA6626__" hidden="1">#REF!</definedName>
    <definedName name="__APW_RESTORE_DATA6627__" hidden="1">#REF!</definedName>
    <definedName name="__APW_RESTORE_DATA6628__" hidden="1">#REF!</definedName>
    <definedName name="__APW_RESTORE_DATA6629__" hidden="1">#REF!</definedName>
    <definedName name="__APW_RESTORE_DATA663__" hidden="1">#REF!</definedName>
    <definedName name="__APW_RESTORE_DATA6630__" hidden="1">#REF!</definedName>
    <definedName name="__APW_RESTORE_DATA6631__" hidden="1">#REF!</definedName>
    <definedName name="__APW_RESTORE_DATA6632__" hidden="1">#REF!</definedName>
    <definedName name="__APW_RESTORE_DATA6633__" hidden="1">#REF!</definedName>
    <definedName name="__APW_RESTORE_DATA6634__" hidden="1">#REF!</definedName>
    <definedName name="__APW_RESTORE_DATA6635__" hidden="1">#REF!</definedName>
    <definedName name="__APW_RESTORE_DATA6636__" hidden="1">#REF!</definedName>
    <definedName name="__APW_RESTORE_DATA6637__" hidden="1">#REF!</definedName>
    <definedName name="__APW_RESTORE_DATA6638__" hidden="1">#REF!</definedName>
    <definedName name="__APW_RESTORE_DATA6639__" hidden="1">#REF!</definedName>
    <definedName name="__APW_RESTORE_DATA664__" hidden="1">#REF!</definedName>
    <definedName name="__APW_RESTORE_DATA6640__" hidden="1">#REF!</definedName>
    <definedName name="__APW_RESTORE_DATA6641__" hidden="1">#REF!</definedName>
    <definedName name="__APW_RESTORE_DATA6642__" hidden="1">#REF!</definedName>
    <definedName name="__APW_RESTORE_DATA6643__" hidden="1">#REF!</definedName>
    <definedName name="__APW_RESTORE_DATA6644__" hidden="1">#REF!</definedName>
    <definedName name="__APW_RESTORE_DATA6645__" hidden="1">#REF!</definedName>
    <definedName name="__APW_RESTORE_DATA6646__" hidden="1">#REF!</definedName>
    <definedName name="__APW_RESTORE_DATA6647__" hidden="1">#REF!</definedName>
    <definedName name="__APW_RESTORE_DATA6648__" hidden="1">#REF!</definedName>
    <definedName name="__APW_RESTORE_DATA6649__" hidden="1">#REF!</definedName>
    <definedName name="__APW_RESTORE_DATA665__" hidden="1">#REF!</definedName>
    <definedName name="__APW_RESTORE_DATA6650__" hidden="1">#REF!</definedName>
    <definedName name="__APW_RESTORE_DATA6651__" hidden="1">#REF!</definedName>
    <definedName name="__APW_RESTORE_DATA6652__" hidden="1">#REF!</definedName>
    <definedName name="__APW_RESTORE_DATA6653__" hidden="1">#REF!</definedName>
    <definedName name="__APW_RESTORE_DATA6654__" hidden="1">#REF!</definedName>
    <definedName name="__APW_RESTORE_DATA6655__" hidden="1">#REF!</definedName>
    <definedName name="__APW_RESTORE_DATA6656__" hidden="1">#REF!</definedName>
    <definedName name="__APW_RESTORE_DATA6657__" hidden="1">#REF!</definedName>
    <definedName name="__APW_RESTORE_DATA6658__" hidden="1">#REF!</definedName>
    <definedName name="__APW_RESTORE_DATA6659__" hidden="1">#REF!</definedName>
    <definedName name="__APW_RESTORE_DATA666__" hidden="1">#REF!</definedName>
    <definedName name="__APW_RESTORE_DATA6660__" hidden="1">#REF!</definedName>
    <definedName name="__APW_RESTORE_DATA6661__" hidden="1">#REF!</definedName>
    <definedName name="__APW_RESTORE_DATA6662__" hidden="1">#REF!</definedName>
    <definedName name="__APW_RESTORE_DATA6663__" hidden="1">#REF!</definedName>
    <definedName name="__APW_RESTORE_DATA6664__" hidden="1">#REF!</definedName>
    <definedName name="__APW_RESTORE_DATA6665__" hidden="1">#REF!</definedName>
    <definedName name="__APW_RESTORE_DATA6666__" hidden="1">#REF!</definedName>
    <definedName name="__APW_RESTORE_DATA6667__" hidden="1">#REF!</definedName>
    <definedName name="__APW_RESTORE_DATA6668__" hidden="1">#REF!</definedName>
    <definedName name="__APW_RESTORE_DATA6669__" hidden="1">#REF!</definedName>
    <definedName name="__APW_RESTORE_DATA667__" hidden="1">#REF!</definedName>
    <definedName name="__APW_RESTORE_DATA6670__" hidden="1">#REF!</definedName>
    <definedName name="__APW_RESTORE_DATA6671__" hidden="1">#REF!</definedName>
    <definedName name="__APW_RESTORE_DATA6672__" hidden="1">#REF!</definedName>
    <definedName name="__APW_RESTORE_DATA6673__" hidden="1">#REF!</definedName>
    <definedName name="__APW_RESTORE_DATA6674__" hidden="1">#REF!</definedName>
    <definedName name="__APW_RESTORE_DATA6675__" hidden="1">#REF!</definedName>
    <definedName name="__APW_RESTORE_DATA6676__" hidden="1">#REF!</definedName>
    <definedName name="__APW_RESTORE_DATA6677__" hidden="1">#REF!</definedName>
    <definedName name="__APW_RESTORE_DATA6678__" hidden="1">#REF!</definedName>
    <definedName name="__APW_RESTORE_DATA6679__" hidden="1">#REF!</definedName>
    <definedName name="__APW_RESTORE_DATA668__" hidden="1">#REF!</definedName>
    <definedName name="__APW_RESTORE_DATA6680__" hidden="1">#REF!</definedName>
    <definedName name="__APW_RESTORE_DATA6681__" hidden="1">#REF!</definedName>
    <definedName name="__APW_RESTORE_DATA6682__" hidden="1">#REF!</definedName>
    <definedName name="__APW_RESTORE_DATA6683__" hidden="1">#REF!</definedName>
    <definedName name="__APW_RESTORE_DATA6684__" hidden="1">#REF!</definedName>
    <definedName name="__APW_RESTORE_DATA6685__" hidden="1">#REF!</definedName>
    <definedName name="__APW_RESTORE_DATA6686__" hidden="1">#REF!</definedName>
    <definedName name="__APW_RESTORE_DATA6687__" hidden="1">#REF!</definedName>
    <definedName name="__APW_RESTORE_DATA6688__" hidden="1">#REF!</definedName>
    <definedName name="__APW_RESTORE_DATA6689__" hidden="1">#REF!</definedName>
    <definedName name="__APW_RESTORE_DATA669__" hidden="1">#REF!</definedName>
    <definedName name="__APW_RESTORE_DATA6690__" hidden="1">#REF!</definedName>
    <definedName name="__APW_RESTORE_DATA6691__" hidden="1">#REF!</definedName>
    <definedName name="__APW_RESTORE_DATA6692__" hidden="1">#REF!</definedName>
    <definedName name="__APW_RESTORE_DATA6693__" hidden="1">#REF!</definedName>
    <definedName name="__APW_RESTORE_DATA6694__" hidden="1">#REF!</definedName>
    <definedName name="__APW_RESTORE_DATA6695__" hidden="1">#REF!</definedName>
    <definedName name="__APW_RESTORE_DATA6696__" hidden="1">#REF!</definedName>
    <definedName name="__APW_RESTORE_DATA6697__" hidden="1">#REF!</definedName>
    <definedName name="__APW_RESTORE_DATA6698__" hidden="1">#REF!</definedName>
    <definedName name="__APW_RESTORE_DATA6699__" hidden="1">#REF!</definedName>
    <definedName name="__APW_RESTORE_DATA67__" hidden="1">#REF!</definedName>
    <definedName name="__APW_RESTORE_DATA670__" hidden="1">#REF!</definedName>
    <definedName name="__APW_RESTORE_DATA6700__" hidden="1">#REF!</definedName>
    <definedName name="__APW_RESTORE_DATA6701__" hidden="1">#REF!</definedName>
    <definedName name="__APW_RESTORE_DATA6702__" hidden="1">#REF!</definedName>
    <definedName name="__APW_RESTORE_DATA6703__" hidden="1">#REF!</definedName>
    <definedName name="__APW_RESTORE_DATA6704__" hidden="1">#REF!</definedName>
    <definedName name="__APW_RESTORE_DATA6705__" hidden="1">#REF!</definedName>
    <definedName name="__APW_RESTORE_DATA6706__" hidden="1">#REF!</definedName>
    <definedName name="__APW_RESTORE_DATA6707__" hidden="1">#REF!</definedName>
    <definedName name="__APW_RESTORE_DATA6708__" hidden="1">#REF!</definedName>
    <definedName name="__APW_RESTORE_DATA6709__" hidden="1">#REF!</definedName>
    <definedName name="__APW_RESTORE_DATA671__" hidden="1">#REF!</definedName>
    <definedName name="__APW_RESTORE_DATA6710__" hidden="1">#REF!</definedName>
    <definedName name="__APW_RESTORE_DATA6711__" hidden="1">#REF!</definedName>
    <definedName name="__APW_RESTORE_DATA6712__" hidden="1">#REF!</definedName>
    <definedName name="__APW_RESTORE_DATA6713__" hidden="1">#REF!</definedName>
    <definedName name="__APW_RESTORE_DATA6714__" hidden="1">#REF!</definedName>
    <definedName name="__APW_RESTORE_DATA6715__" hidden="1">#REF!</definedName>
    <definedName name="__APW_RESTORE_DATA6716__" hidden="1">#REF!</definedName>
    <definedName name="__APW_RESTORE_DATA6717__" hidden="1">#REF!</definedName>
    <definedName name="__APW_RESTORE_DATA6718__" hidden="1">#REF!</definedName>
    <definedName name="__APW_RESTORE_DATA6719__" hidden="1">#REF!</definedName>
    <definedName name="__APW_RESTORE_DATA672__" hidden="1">#REF!</definedName>
    <definedName name="__APW_RESTORE_DATA6720__" hidden="1">#REF!</definedName>
    <definedName name="__APW_RESTORE_DATA6721__" hidden="1">#REF!</definedName>
    <definedName name="__APW_RESTORE_DATA6722__" hidden="1">#REF!</definedName>
    <definedName name="__APW_RESTORE_DATA6723__" hidden="1">#REF!</definedName>
    <definedName name="__APW_RESTORE_DATA6724__" hidden="1">#REF!</definedName>
    <definedName name="__APW_RESTORE_DATA6725__" hidden="1">#REF!</definedName>
    <definedName name="__APW_RESTORE_DATA6726__" hidden="1">#REF!</definedName>
    <definedName name="__APW_RESTORE_DATA6727__" hidden="1">#REF!</definedName>
    <definedName name="__APW_RESTORE_DATA6728__" hidden="1">#REF!</definedName>
    <definedName name="__APW_RESTORE_DATA6729__" hidden="1">#REF!</definedName>
    <definedName name="__APW_RESTORE_DATA673__" hidden="1">#REF!</definedName>
    <definedName name="__APW_RESTORE_DATA6730__" hidden="1">#REF!</definedName>
    <definedName name="__APW_RESTORE_DATA6731__" hidden="1">#REF!</definedName>
    <definedName name="__APW_RESTORE_DATA6732__" hidden="1">#REF!</definedName>
    <definedName name="__APW_RESTORE_DATA6733__" hidden="1">#REF!</definedName>
    <definedName name="__APW_RESTORE_DATA6734__" hidden="1">#REF!</definedName>
    <definedName name="__APW_RESTORE_DATA6735__" hidden="1">#REF!</definedName>
    <definedName name="__APW_RESTORE_DATA6736__" hidden="1">#REF!</definedName>
    <definedName name="__APW_RESTORE_DATA6737__" hidden="1">#REF!</definedName>
    <definedName name="__APW_RESTORE_DATA6738__" hidden="1">#REF!</definedName>
    <definedName name="__APW_RESTORE_DATA6739__" hidden="1">#REF!</definedName>
    <definedName name="__APW_RESTORE_DATA674__" hidden="1">#REF!</definedName>
    <definedName name="__APW_RESTORE_DATA6740__" hidden="1">#REF!</definedName>
    <definedName name="__APW_RESTORE_DATA6741__" hidden="1">#REF!</definedName>
    <definedName name="__APW_RESTORE_DATA6742__" hidden="1">#REF!</definedName>
    <definedName name="__APW_RESTORE_DATA6743__" hidden="1">#REF!</definedName>
    <definedName name="__APW_RESTORE_DATA6744__" hidden="1">#REF!</definedName>
    <definedName name="__APW_RESTORE_DATA6745__" hidden="1">#REF!</definedName>
    <definedName name="__APW_RESTORE_DATA6746__" hidden="1">#REF!</definedName>
    <definedName name="__APW_RESTORE_DATA6747__" hidden="1">#REF!</definedName>
    <definedName name="__APW_RESTORE_DATA6748__" hidden="1">#REF!</definedName>
    <definedName name="__APW_RESTORE_DATA6749__" hidden="1">#REF!</definedName>
    <definedName name="__APW_RESTORE_DATA675__" hidden="1">#REF!</definedName>
    <definedName name="__APW_RESTORE_DATA6750__" hidden="1">#REF!</definedName>
    <definedName name="__APW_RESTORE_DATA6751__" hidden="1">#REF!</definedName>
    <definedName name="__APW_RESTORE_DATA6752__" hidden="1">#REF!</definedName>
    <definedName name="__APW_RESTORE_DATA6753__" hidden="1">#REF!</definedName>
    <definedName name="__APW_RESTORE_DATA6754__" hidden="1">#REF!</definedName>
    <definedName name="__APW_RESTORE_DATA6755__" hidden="1">#REF!</definedName>
    <definedName name="__APW_RESTORE_DATA6756__" hidden="1">#REF!</definedName>
    <definedName name="__APW_RESTORE_DATA6757__" hidden="1">#REF!</definedName>
    <definedName name="__APW_RESTORE_DATA6758__" hidden="1">#REF!</definedName>
    <definedName name="__APW_RESTORE_DATA6759__" hidden="1">#REF!</definedName>
    <definedName name="__APW_RESTORE_DATA676__" hidden="1">#REF!</definedName>
    <definedName name="__APW_RESTORE_DATA6760__" hidden="1">#REF!</definedName>
    <definedName name="__APW_RESTORE_DATA6761__" hidden="1">#REF!</definedName>
    <definedName name="__APW_RESTORE_DATA6762__" hidden="1">#REF!</definedName>
    <definedName name="__APW_RESTORE_DATA6763__" hidden="1">#REF!</definedName>
    <definedName name="__APW_RESTORE_DATA6764__" hidden="1">#REF!</definedName>
    <definedName name="__APW_RESTORE_DATA6765__" hidden="1">#REF!</definedName>
    <definedName name="__APW_RESTORE_DATA6766__" hidden="1">#REF!</definedName>
    <definedName name="__APW_RESTORE_DATA6767__" hidden="1">#REF!</definedName>
    <definedName name="__APW_RESTORE_DATA6768__" hidden="1">#REF!</definedName>
    <definedName name="__APW_RESTORE_DATA6769__" hidden="1">#REF!</definedName>
    <definedName name="__APW_RESTORE_DATA677__" hidden="1">#REF!</definedName>
    <definedName name="__APW_RESTORE_DATA6770__" hidden="1">#REF!</definedName>
    <definedName name="__APW_RESTORE_DATA6771__" hidden="1">#REF!</definedName>
    <definedName name="__APW_RESTORE_DATA6772__" hidden="1">#REF!</definedName>
    <definedName name="__APW_RESTORE_DATA6773__" hidden="1">#REF!</definedName>
    <definedName name="__APW_RESTORE_DATA6774__" hidden="1">#REF!</definedName>
    <definedName name="__APW_RESTORE_DATA6775__" hidden="1">#REF!</definedName>
    <definedName name="__APW_RESTORE_DATA6776__" hidden="1">#REF!</definedName>
    <definedName name="__APW_RESTORE_DATA6777__" hidden="1">#REF!</definedName>
    <definedName name="__APW_RESTORE_DATA6778__" hidden="1">#REF!</definedName>
    <definedName name="__APW_RESTORE_DATA6779__" hidden="1">#REF!</definedName>
    <definedName name="__APW_RESTORE_DATA678__" hidden="1">#REF!</definedName>
    <definedName name="__APW_RESTORE_DATA6780__" hidden="1">#REF!</definedName>
    <definedName name="__APW_RESTORE_DATA6781__" hidden="1">#REF!</definedName>
    <definedName name="__APW_RESTORE_DATA6782__" hidden="1">#REF!</definedName>
    <definedName name="__APW_RESTORE_DATA6783__" hidden="1">#REF!</definedName>
    <definedName name="__APW_RESTORE_DATA6784__" hidden="1">#REF!</definedName>
    <definedName name="__APW_RESTORE_DATA6785__" hidden="1">#REF!</definedName>
    <definedName name="__APW_RESTORE_DATA6786__" hidden="1">#REF!</definedName>
    <definedName name="__APW_RESTORE_DATA6787__" hidden="1">#REF!</definedName>
    <definedName name="__APW_RESTORE_DATA6788__" hidden="1">#REF!</definedName>
    <definedName name="__APW_RESTORE_DATA6789__" hidden="1">#REF!</definedName>
    <definedName name="__APW_RESTORE_DATA679__" hidden="1">#REF!</definedName>
    <definedName name="__APW_RESTORE_DATA6790__" hidden="1">#REF!</definedName>
    <definedName name="__APW_RESTORE_DATA6791__" hidden="1">#REF!</definedName>
    <definedName name="__APW_RESTORE_DATA6792__" hidden="1">#REF!</definedName>
    <definedName name="__APW_RESTORE_DATA6793__" hidden="1">#REF!</definedName>
    <definedName name="__APW_RESTORE_DATA6794__" hidden="1">#REF!</definedName>
    <definedName name="__APW_RESTORE_DATA6795__" hidden="1">#REF!</definedName>
    <definedName name="__APW_RESTORE_DATA6796__" hidden="1">#REF!</definedName>
    <definedName name="__APW_RESTORE_DATA6797__" hidden="1">#REF!</definedName>
    <definedName name="__APW_RESTORE_DATA6798__" hidden="1">#REF!</definedName>
    <definedName name="__APW_RESTORE_DATA6799__" hidden="1">#REF!</definedName>
    <definedName name="__APW_RESTORE_DATA68__" hidden="1">#REF!</definedName>
    <definedName name="__APW_RESTORE_DATA680__" hidden="1">#REF!</definedName>
    <definedName name="__APW_RESTORE_DATA6800__" hidden="1">#REF!</definedName>
    <definedName name="__APW_RESTORE_DATA6801__" hidden="1">#REF!</definedName>
    <definedName name="__APW_RESTORE_DATA6802__" hidden="1">#REF!</definedName>
    <definedName name="__APW_RESTORE_DATA6803__" hidden="1">#REF!</definedName>
    <definedName name="__APW_RESTORE_DATA6804__" hidden="1">#REF!</definedName>
    <definedName name="__APW_RESTORE_DATA6805__" hidden="1">#REF!</definedName>
    <definedName name="__APW_RESTORE_DATA6806__" hidden="1">#REF!</definedName>
    <definedName name="__APW_RESTORE_DATA6807__" hidden="1">#REF!</definedName>
    <definedName name="__APW_RESTORE_DATA6808__" hidden="1">#REF!</definedName>
    <definedName name="__APW_RESTORE_DATA6809__" hidden="1">#REF!</definedName>
    <definedName name="__APW_RESTORE_DATA681__" hidden="1">#REF!</definedName>
    <definedName name="__APW_RESTORE_DATA6810__" hidden="1">#REF!</definedName>
    <definedName name="__APW_RESTORE_DATA6811__" hidden="1">#REF!</definedName>
    <definedName name="__APW_RESTORE_DATA6812__" hidden="1">#REF!</definedName>
    <definedName name="__APW_RESTORE_DATA6813__" hidden="1">#REF!</definedName>
    <definedName name="__APW_RESTORE_DATA6814__" hidden="1">#REF!</definedName>
    <definedName name="__APW_RESTORE_DATA6815__" hidden="1">#REF!</definedName>
    <definedName name="__APW_RESTORE_DATA6816__" hidden="1">#REF!</definedName>
    <definedName name="__APW_RESTORE_DATA6817__" hidden="1">#REF!</definedName>
    <definedName name="__APW_RESTORE_DATA6818__" hidden="1">#REF!</definedName>
    <definedName name="__APW_RESTORE_DATA6819__" hidden="1">#REF!</definedName>
    <definedName name="__APW_RESTORE_DATA682__" hidden="1">#REF!</definedName>
    <definedName name="__APW_RESTORE_DATA6820__" hidden="1">#REF!</definedName>
    <definedName name="__APW_RESTORE_DATA6821__" hidden="1">#REF!</definedName>
    <definedName name="__APW_RESTORE_DATA6822__" hidden="1">#REF!</definedName>
    <definedName name="__APW_RESTORE_DATA6823__" hidden="1">#REF!</definedName>
    <definedName name="__APW_RESTORE_DATA6824__" hidden="1">#REF!</definedName>
    <definedName name="__APW_RESTORE_DATA6825__" hidden="1">#REF!</definedName>
    <definedName name="__APW_RESTORE_DATA6826__" hidden="1">#REF!</definedName>
    <definedName name="__APW_RESTORE_DATA6827__" hidden="1">#REF!</definedName>
    <definedName name="__APW_RESTORE_DATA6828__" hidden="1">#REF!</definedName>
    <definedName name="__APW_RESTORE_DATA6829__" hidden="1">#REF!</definedName>
    <definedName name="__APW_RESTORE_DATA683__" hidden="1">#REF!</definedName>
    <definedName name="__APW_RESTORE_DATA6830__" hidden="1">#REF!</definedName>
    <definedName name="__APW_RESTORE_DATA6831__" hidden="1">#REF!</definedName>
    <definedName name="__APW_RESTORE_DATA6832__" hidden="1">#REF!</definedName>
    <definedName name="__APW_RESTORE_DATA6833__" hidden="1">#REF!</definedName>
    <definedName name="__APW_RESTORE_DATA6834__" hidden="1">#REF!</definedName>
    <definedName name="__APW_RESTORE_DATA6835__" hidden="1">#REF!</definedName>
    <definedName name="__APW_RESTORE_DATA6836__" hidden="1">#REF!</definedName>
    <definedName name="__APW_RESTORE_DATA6837__" hidden="1">#REF!</definedName>
    <definedName name="__APW_RESTORE_DATA6838__" hidden="1">#REF!</definedName>
    <definedName name="__APW_RESTORE_DATA6839__" hidden="1">#REF!</definedName>
    <definedName name="__APW_RESTORE_DATA684__" hidden="1">#REF!</definedName>
    <definedName name="__APW_RESTORE_DATA6840__" hidden="1">#REF!</definedName>
    <definedName name="__APW_RESTORE_DATA6841__" hidden="1">#REF!</definedName>
    <definedName name="__APW_RESTORE_DATA6842__" hidden="1">#REF!</definedName>
    <definedName name="__APW_RESTORE_DATA6843__" hidden="1">#REF!</definedName>
    <definedName name="__APW_RESTORE_DATA6844__" hidden="1">#REF!</definedName>
    <definedName name="__APW_RESTORE_DATA6845__" hidden="1">#REF!</definedName>
    <definedName name="__APW_RESTORE_DATA6846__" hidden="1">#REF!</definedName>
    <definedName name="__APW_RESTORE_DATA6847__" hidden="1">#REF!</definedName>
    <definedName name="__APW_RESTORE_DATA6848__" hidden="1">#REF!</definedName>
    <definedName name="__APW_RESTORE_DATA6849__" hidden="1">#REF!</definedName>
    <definedName name="__APW_RESTORE_DATA685__" hidden="1">#REF!</definedName>
    <definedName name="__APW_RESTORE_DATA6850__" hidden="1">#REF!</definedName>
    <definedName name="__APW_RESTORE_DATA6851__" hidden="1">#REF!</definedName>
    <definedName name="__APW_RESTORE_DATA6852__" hidden="1">#REF!</definedName>
    <definedName name="__APW_RESTORE_DATA6853__" hidden="1">#REF!</definedName>
    <definedName name="__APW_RESTORE_DATA6854__" hidden="1">#REF!</definedName>
    <definedName name="__APW_RESTORE_DATA6855__" hidden="1">#REF!</definedName>
    <definedName name="__APW_RESTORE_DATA6856__" hidden="1">#REF!</definedName>
    <definedName name="__APW_RESTORE_DATA6857__" hidden="1">#REF!</definedName>
    <definedName name="__APW_RESTORE_DATA6858__" hidden="1">#REF!</definedName>
    <definedName name="__APW_RESTORE_DATA6859__" hidden="1">#REF!</definedName>
    <definedName name="__APW_RESTORE_DATA686__" hidden="1">#REF!</definedName>
    <definedName name="__APW_RESTORE_DATA6860__" hidden="1">#REF!</definedName>
    <definedName name="__APW_RESTORE_DATA6861__" hidden="1">#REF!</definedName>
    <definedName name="__APW_RESTORE_DATA6862__" hidden="1">#REF!</definedName>
    <definedName name="__APW_RESTORE_DATA6863__" hidden="1">#REF!</definedName>
    <definedName name="__APW_RESTORE_DATA6864__" hidden="1">#REF!</definedName>
    <definedName name="__APW_RESTORE_DATA6865__" hidden="1">#REF!</definedName>
    <definedName name="__APW_RESTORE_DATA6866__" hidden="1">#REF!</definedName>
    <definedName name="__APW_RESTORE_DATA6867__" hidden="1">#REF!</definedName>
    <definedName name="__APW_RESTORE_DATA6868__" hidden="1">#REF!</definedName>
    <definedName name="__APW_RESTORE_DATA6869__" hidden="1">#REF!</definedName>
    <definedName name="__APW_RESTORE_DATA687__" hidden="1">#REF!</definedName>
    <definedName name="__APW_RESTORE_DATA6870__" hidden="1">#REF!</definedName>
    <definedName name="__APW_RESTORE_DATA6871__" hidden="1">#REF!</definedName>
    <definedName name="__APW_RESTORE_DATA6872__" hidden="1">#REF!</definedName>
    <definedName name="__APW_RESTORE_DATA6873__" hidden="1">#REF!</definedName>
    <definedName name="__APW_RESTORE_DATA6874__" hidden="1">#REF!</definedName>
    <definedName name="__APW_RESTORE_DATA6875__" hidden="1">#REF!</definedName>
    <definedName name="__APW_RESTORE_DATA6876__" hidden="1">#REF!</definedName>
    <definedName name="__APW_RESTORE_DATA6877__" hidden="1">#REF!</definedName>
    <definedName name="__APW_RESTORE_DATA6878__" hidden="1">#REF!</definedName>
    <definedName name="__APW_RESTORE_DATA6879__" hidden="1">#REF!</definedName>
    <definedName name="__APW_RESTORE_DATA688__" hidden="1">#REF!</definedName>
    <definedName name="__APW_RESTORE_DATA6880__" hidden="1">#REF!</definedName>
    <definedName name="__APW_RESTORE_DATA6881__" hidden="1">#REF!</definedName>
    <definedName name="__APW_RESTORE_DATA6882__" hidden="1">#REF!</definedName>
    <definedName name="__APW_RESTORE_DATA6883__" hidden="1">#REF!</definedName>
    <definedName name="__APW_RESTORE_DATA6884__" hidden="1">#REF!</definedName>
    <definedName name="__APW_RESTORE_DATA6885__" hidden="1">#REF!</definedName>
    <definedName name="__APW_RESTORE_DATA6886__" hidden="1">#REF!</definedName>
    <definedName name="__APW_RESTORE_DATA6887__" hidden="1">#REF!</definedName>
    <definedName name="__APW_RESTORE_DATA6888__" hidden="1">#REF!</definedName>
    <definedName name="__APW_RESTORE_DATA6889__" hidden="1">#REF!</definedName>
    <definedName name="__APW_RESTORE_DATA689__" hidden="1">#REF!</definedName>
    <definedName name="__APW_RESTORE_DATA6890__" hidden="1">#REF!</definedName>
    <definedName name="__APW_RESTORE_DATA6891__" hidden="1">#REF!</definedName>
    <definedName name="__APW_RESTORE_DATA6892__" hidden="1">#REF!</definedName>
    <definedName name="__APW_RESTORE_DATA6893__" hidden="1">#REF!</definedName>
    <definedName name="__APW_RESTORE_DATA6894__" hidden="1">#REF!</definedName>
    <definedName name="__APW_RESTORE_DATA6895__" hidden="1">#REF!</definedName>
    <definedName name="__APW_RESTORE_DATA6896__" hidden="1">#REF!</definedName>
    <definedName name="__APW_RESTORE_DATA6897__" hidden="1">#REF!</definedName>
    <definedName name="__APW_RESTORE_DATA6898__" hidden="1">#REF!</definedName>
    <definedName name="__APW_RESTORE_DATA6899__" hidden="1">#REF!</definedName>
    <definedName name="__APW_RESTORE_DATA69__" hidden="1">#REF!</definedName>
    <definedName name="__APW_RESTORE_DATA690__" hidden="1">#REF!</definedName>
    <definedName name="__APW_RESTORE_DATA6900__" hidden="1">#REF!</definedName>
    <definedName name="__APW_RESTORE_DATA6901__" hidden="1">#REF!</definedName>
    <definedName name="__APW_RESTORE_DATA6902__" hidden="1">#REF!</definedName>
    <definedName name="__APW_RESTORE_DATA6903__" hidden="1">#REF!</definedName>
    <definedName name="__APW_RESTORE_DATA6904__" hidden="1">#REF!</definedName>
    <definedName name="__APW_RESTORE_DATA6905__" hidden="1">#REF!</definedName>
    <definedName name="__APW_RESTORE_DATA6906__" hidden="1">#REF!</definedName>
    <definedName name="__APW_RESTORE_DATA6907__" hidden="1">#REF!</definedName>
    <definedName name="__APW_RESTORE_DATA6908__" hidden="1">#REF!</definedName>
    <definedName name="__APW_RESTORE_DATA6909__" hidden="1">#REF!</definedName>
    <definedName name="__APW_RESTORE_DATA691__" hidden="1">#REF!</definedName>
    <definedName name="__APW_RESTORE_DATA6910__" hidden="1">#REF!</definedName>
    <definedName name="__APW_RESTORE_DATA6911__" hidden="1">#REF!</definedName>
    <definedName name="__APW_RESTORE_DATA6912__" hidden="1">#REF!</definedName>
    <definedName name="__APW_RESTORE_DATA6913__" hidden="1">#REF!</definedName>
    <definedName name="__APW_RESTORE_DATA6914__" hidden="1">#REF!</definedName>
    <definedName name="__APW_RESTORE_DATA6915__" hidden="1">#REF!</definedName>
    <definedName name="__APW_RESTORE_DATA6916__" hidden="1">#REF!</definedName>
    <definedName name="__APW_RESTORE_DATA6917__" hidden="1">#REF!</definedName>
    <definedName name="__APW_RESTORE_DATA6918__" hidden="1">#REF!</definedName>
    <definedName name="__APW_RESTORE_DATA6919__" hidden="1">#REF!</definedName>
    <definedName name="__APW_RESTORE_DATA692__" hidden="1">#REF!</definedName>
    <definedName name="__APW_RESTORE_DATA6920__" hidden="1">#REF!</definedName>
    <definedName name="__APW_RESTORE_DATA6921__" hidden="1">#REF!</definedName>
    <definedName name="__APW_RESTORE_DATA6922__" hidden="1">#REF!</definedName>
    <definedName name="__APW_RESTORE_DATA6923__" hidden="1">#REF!</definedName>
    <definedName name="__APW_RESTORE_DATA6924__" hidden="1">#REF!</definedName>
    <definedName name="__APW_RESTORE_DATA6925__" hidden="1">#REF!</definedName>
    <definedName name="__APW_RESTORE_DATA6926__" hidden="1">#REF!</definedName>
    <definedName name="__APW_RESTORE_DATA6927__" hidden="1">#REF!</definedName>
    <definedName name="__APW_RESTORE_DATA6928__" hidden="1">#REF!</definedName>
    <definedName name="__APW_RESTORE_DATA6929__" hidden="1">#REF!</definedName>
    <definedName name="__APW_RESTORE_DATA693__" hidden="1">#REF!</definedName>
    <definedName name="__APW_RESTORE_DATA6930__" hidden="1">#REF!</definedName>
    <definedName name="__APW_RESTORE_DATA6931__" hidden="1">#REF!</definedName>
    <definedName name="__APW_RESTORE_DATA6932__" hidden="1">#REF!</definedName>
    <definedName name="__APW_RESTORE_DATA6933__" hidden="1">#REF!</definedName>
    <definedName name="__APW_RESTORE_DATA6934__" hidden="1">#REF!</definedName>
    <definedName name="__APW_RESTORE_DATA6935__" hidden="1">#REF!</definedName>
    <definedName name="__APW_RESTORE_DATA6936__" hidden="1">#REF!</definedName>
    <definedName name="__APW_RESTORE_DATA6937__" hidden="1">#REF!</definedName>
    <definedName name="__APW_RESTORE_DATA6938__" hidden="1">#REF!</definedName>
    <definedName name="__APW_RESTORE_DATA6939__" hidden="1">#REF!</definedName>
    <definedName name="__APW_RESTORE_DATA694__" hidden="1">#REF!</definedName>
    <definedName name="__APW_RESTORE_DATA6940__" hidden="1">#REF!</definedName>
    <definedName name="__APW_RESTORE_DATA6941__" hidden="1">#REF!</definedName>
    <definedName name="__APW_RESTORE_DATA6942__" hidden="1">#REF!</definedName>
    <definedName name="__APW_RESTORE_DATA6943__" hidden="1">#REF!</definedName>
    <definedName name="__APW_RESTORE_DATA6944__" hidden="1">#REF!</definedName>
    <definedName name="__APW_RESTORE_DATA6945__" hidden="1">#REF!</definedName>
    <definedName name="__APW_RESTORE_DATA6946__" hidden="1">#REF!</definedName>
    <definedName name="__APW_RESTORE_DATA6947__" hidden="1">#REF!</definedName>
    <definedName name="__APW_RESTORE_DATA6948__" hidden="1">#REF!</definedName>
    <definedName name="__APW_RESTORE_DATA6949__" hidden="1">#REF!</definedName>
    <definedName name="__APW_RESTORE_DATA695__" hidden="1">#REF!</definedName>
    <definedName name="__APW_RESTORE_DATA6950__" hidden="1">#REF!</definedName>
    <definedName name="__APW_RESTORE_DATA6951__" hidden="1">#REF!</definedName>
    <definedName name="__APW_RESTORE_DATA6952__" hidden="1">#REF!</definedName>
    <definedName name="__APW_RESTORE_DATA6953__" hidden="1">#REF!</definedName>
    <definedName name="__APW_RESTORE_DATA6954__" hidden="1">#REF!</definedName>
    <definedName name="__APW_RESTORE_DATA6955__" hidden="1">#REF!</definedName>
    <definedName name="__APW_RESTORE_DATA6956__" hidden="1">#REF!</definedName>
    <definedName name="__APW_RESTORE_DATA6957__" hidden="1">#REF!</definedName>
    <definedName name="__APW_RESTORE_DATA6958__" hidden="1">#REF!</definedName>
    <definedName name="__APW_RESTORE_DATA6959__" hidden="1">#REF!</definedName>
    <definedName name="__APW_RESTORE_DATA696__" hidden="1">#REF!</definedName>
    <definedName name="__APW_RESTORE_DATA6960__" hidden="1">#REF!</definedName>
    <definedName name="__APW_RESTORE_DATA6961__" hidden="1">#REF!</definedName>
    <definedName name="__APW_RESTORE_DATA6962__" hidden="1">#REF!</definedName>
    <definedName name="__APW_RESTORE_DATA6963__" hidden="1">#REF!</definedName>
    <definedName name="__APW_RESTORE_DATA6964__" hidden="1">#REF!</definedName>
    <definedName name="__APW_RESTORE_DATA6965__" hidden="1">#REF!</definedName>
    <definedName name="__APW_RESTORE_DATA6966__" hidden="1">#REF!</definedName>
    <definedName name="__APW_RESTORE_DATA6967__" hidden="1">#REF!</definedName>
    <definedName name="__APW_RESTORE_DATA6968__" hidden="1">#REF!</definedName>
    <definedName name="__APW_RESTORE_DATA6969__" hidden="1">#REF!</definedName>
    <definedName name="__APW_RESTORE_DATA697__" hidden="1">#REF!</definedName>
    <definedName name="__APW_RESTORE_DATA6970__" hidden="1">#REF!</definedName>
    <definedName name="__APW_RESTORE_DATA6971__" hidden="1">#REF!</definedName>
    <definedName name="__APW_RESTORE_DATA6972__" hidden="1">#REF!</definedName>
    <definedName name="__APW_RESTORE_DATA6973__" hidden="1">#REF!</definedName>
    <definedName name="__APW_RESTORE_DATA6974__" hidden="1">#REF!</definedName>
    <definedName name="__APW_RESTORE_DATA6975__" hidden="1">#REF!</definedName>
    <definedName name="__APW_RESTORE_DATA6976__" hidden="1">#REF!</definedName>
    <definedName name="__APW_RESTORE_DATA6977__" hidden="1">#REF!</definedName>
    <definedName name="__APW_RESTORE_DATA6978__" hidden="1">#REF!</definedName>
    <definedName name="__APW_RESTORE_DATA6979__" hidden="1">#REF!</definedName>
    <definedName name="__APW_RESTORE_DATA698__" hidden="1">#REF!</definedName>
    <definedName name="__APW_RESTORE_DATA6980__" hidden="1">#REF!</definedName>
    <definedName name="__APW_RESTORE_DATA6981__" hidden="1">#REF!</definedName>
    <definedName name="__APW_RESTORE_DATA6982__" hidden="1">#REF!</definedName>
    <definedName name="__APW_RESTORE_DATA6983__" hidden="1">#REF!</definedName>
    <definedName name="__APW_RESTORE_DATA6984__" hidden="1">#REF!</definedName>
    <definedName name="__APW_RESTORE_DATA6985__" hidden="1">#REF!</definedName>
    <definedName name="__APW_RESTORE_DATA6986__" hidden="1">#REF!</definedName>
    <definedName name="__APW_RESTORE_DATA6987__" hidden="1">#REF!</definedName>
    <definedName name="__APW_RESTORE_DATA6988__" hidden="1">#REF!</definedName>
    <definedName name="__APW_RESTORE_DATA6989__" hidden="1">#REF!</definedName>
    <definedName name="__APW_RESTORE_DATA699__" hidden="1">#REF!</definedName>
    <definedName name="__APW_RESTORE_DATA6990__" hidden="1">#REF!</definedName>
    <definedName name="__APW_RESTORE_DATA6991__" hidden="1">#REF!</definedName>
    <definedName name="__APW_RESTORE_DATA6992__" hidden="1">#REF!</definedName>
    <definedName name="__APW_RESTORE_DATA6993__" hidden="1">#REF!</definedName>
    <definedName name="__APW_RESTORE_DATA6994__" hidden="1">#REF!</definedName>
    <definedName name="__APW_RESTORE_DATA6995__" hidden="1">#REF!</definedName>
    <definedName name="__APW_RESTORE_DATA6996__" hidden="1">#REF!</definedName>
    <definedName name="__APW_RESTORE_DATA6997__" hidden="1">#REF!</definedName>
    <definedName name="__APW_RESTORE_DATA6998__" hidden="1">#REF!</definedName>
    <definedName name="__APW_RESTORE_DATA69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00__" hidden="1">#REF!</definedName>
    <definedName name="__APW_RESTORE_DATA7001__" hidden="1">#REF!</definedName>
    <definedName name="__APW_RESTORE_DATA7002__" hidden="1">#REF!</definedName>
    <definedName name="__APW_RESTORE_DATA7003__" hidden="1">#REF!</definedName>
    <definedName name="__APW_RESTORE_DATA7004__" hidden="1">#REF!</definedName>
    <definedName name="__APW_RESTORE_DATA7005__" hidden="1">#REF!</definedName>
    <definedName name="__APW_RESTORE_DATA7006__" hidden="1">#REF!</definedName>
    <definedName name="__APW_RESTORE_DATA7007__" hidden="1">#REF!</definedName>
    <definedName name="__APW_RESTORE_DATA7008__" hidden="1">#REF!</definedName>
    <definedName name="__APW_RESTORE_DATA7009__" hidden="1">#REF!</definedName>
    <definedName name="__APW_RESTORE_DATA701__" hidden="1">#REF!</definedName>
    <definedName name="__APW_RESTORE_DATA7010__" hidden="1">#REF!</definedName>
    <definedName name="__APW_RESTORE_DATA7011__" hidden="1">#REF!</definedName>
    <definedName name="__APW_RESTORE_DATA7012__" hidden="1">#REF!</definedName>
    <definedName name="__APW_RESTORE_DATA7013__" hidden="1">#REF!</definedName>
    <definedName name="__APW_RESTORE_DATA7014__" hidden="1">#REF!</definedName>
    <definedName name="__APW_RESTORE_DATA7015__" hidden="1">#REF!</definedName>
    <definedName name="__APW_RESTORE_DATA7016__" hidden="1">#REF!</definedName>
    <definedName name="__APW_RESTORE_DATA7017__" hidden="1">#REF!</definedName>
    <definedName name="__APW_RESTORE_DATA7018__" hidden="1">#REF!</definedName>
    <definedName name="__APW_RESTORE_DATA7019__" hidden="1">#REF!</definedName>
    <definedName name="__APW_RESTORE_DATA702__" hidden="1">#REF!</definedName>
    <definedName name="__APW_RESTORE_DATA7020__" hidden="1">#REF!</definedName>
    <definedName name="__APW_RESTORE_DATA7021__" hidden="1">#REF!</definedName>
    <definedName name="__APW_RESTORE_DATA7022__" hidden="1">#REF!</definedName>
    <definedName name="__APW_RESTORE_DATA7023__" hidden="1">#REF!</definedName>
    <definedName name="__APW_RESTORE_DATA7024__" hidden="1">#REF!</definedName>
    <definedName name="__APW_RESTORE_DATA7025__" hidden="1">#REF!</definedName>
    <definedName name="__APW_RESTORE_DATA7026__" hidden="1">#REF!</definedName>
    <definedName name="__APW_RESTORE_DATA7027__" hidden="1">#REF!</definedName>
    <definedName name="__APW_RESTORE_DATA7028__" hidden="1">#REF!</definedName>
    <definedName name="__APW_RESTORE_DATA7029__" hidden="1">#REF!</definedName>
    <definedName name="__APW_RESTORE_DATA703__" hidden="1">#REF!</definedName>
    <definedName name="__APW_RESTORE_DATA7030__" hidden="1">#REF!</definedName>
    <definedName name="__APW_RESTORE_DATA7031__" hidden="1">#REF!</definedName>
    <definedName name="__APW_RESTORE_DATA7032__" hidden="1">#REF!</definedName>
    <definedName name="__APW_RESTORE_DATA7033__" hidden="1">#REF!</definedName>
    <definedName name="__APW_RESTORE_DATA7034__" hidden="1">#REF!</definedName>
    <definedName name="__APW_RESTORE_DATA7035__" hidden="1">#REF!</definedName>
    <definedName name="__APW_RESTORE_DATA7036__" hidden="1">#REF!</definedName>
    <definedName name="__APW_RESTORE_DATA7037__" hidden="1">#REF!</definedName>
    <definedName name="__APW_RESTORE_DATA7038__" hidden="1">#REF!</definedName>
    <definedName name="__APW_RESTORE_DATA7039__" hidden="1">#REF!</definedName>
    <definedName name="__APW_RESTORE_DATA704__" hidden="1">#REF!</definedName>
    <definedName name="__APW_RESTORE_DATA7040__" hidden="1">#REF!</definedName>
    <definedName name="__APW_RESTORE_DATA7041__" hidden="1">#REF!</definedName>
    <definedName name="__APW_RESTORE_DATA7042__" hidden="1">#REF!</definedName>
    <definedName name="__APW_RESTORE_DATA7043__" hidden="1">#REF!</definedName>
    <definedName name="__APW_RESTORE_DATA7044__" hidden="1">#REF!</definedName>
    <definedName name="__APW_RESTORE_DATA7045__" hidden="1">#REF!</definedName>
    <definedName name="__APW_RESTORE_DATA7046__" hidden="1">#REF!</definedName>
    <definedName name="__APW_RESTORE_DATA7047__" hidden="1">#REF!</definedName>
    <definedName name="__APW_RESTORE_DATA7048__" hidden="1">#REF!</definedName>
    <definedName name="__APW_RESTORE_DATA7049__" hidden="1">#REF!</definedName>
    <definedName name="__APW_RESTORE_DATA705__" hidden="1">#REF!</definedName>
    <definedName name="__APW_RESTORE_DATA7050__" hidden="1">#REF!</definedName>
    <definedName name="__APW_RESTORE_DATA7051__" hidden="1">#REF!</definedName>
    <definedName name="__APW_RESTORE_DATA7052__" hidden="1">#REF!</definedName>
    <definedName name="__APW_RESTORE_DATA7053__" hidden="1">#REF!</definedName>
    <definedName name="__APW_RESTORE_DATA7054__" hidden="1">#REF!</definedName>
    <definedName name="__APW_RESTORE_DATA7055__" hidden="1">#REF!</definedName>
    <definedName name="__APW_RESTORE_DATA7056__" hidden="1">#REF!</definedName>
    <definedName name="__APW_RESTORE_DATA7057__" hidden="1">#REF!</definedName>
    <definedName name="__APW_RESTORE_DATA7058__" hidden="1">#REF!</definedName>
    <definedName name="__APW_RESTORE_DATA7059__" hidden="1">#REF!</definedName>
    <definedName name="__APW_RESTORE_DATA706__" hidden="1">#REF!</definedName>
    <definedName name="__APW_RESTORE_DATA7060__" hidden="1">#REF!</definedName>
    <definedName name="__APW_RESTORE_DATA7061__" hidden="1">#REF!</definedName>
    <definedName name="__APW_RESTORE_DATA7062__" hidden="1">#REF!</definedName>
    <definedName name="__APW_RESTORE_DATA7063__" hidden="1">#REF!</definedName>
    <definedName name="__APW_RESTORE_DATA7064__" hidden="1">#REF!</definedName>
    <definedName name="__APW_RESTORE_DATA7065__" hidden="1">#REF!</definedName>
    <definedName name="__APW_RESTORE_DATA7066__" hidden="1">#REF!</definedName>
    <definedName name="__APW_RESTORE_DATA7067__" hidden="1">#REF!</definedName>
    <definedName name="__APW_RESTORE_DATA7068__" hidden="1">#REF!</definedName>
    <definedName name="__APW_RESTORE_DATA7069__" hidden="1">#REF!</definedName>
    <definedName name="__APW_RESTORE_DATA707__" hidden="1">#REF!</definedName>
    <definedName name="__APW_RESTORE_DATA7070__" hidden="1">#REF!</definedName>
    <definedName name="__APW_RESTORE_DATA7071__" hidden="1">#REF!</definedName>
    <definedName name="__APW_RESTORE_DATA7072__" hidden="1">#REF!</definedName>
    <definedName name="__APW_RESTORE_DATA7073__" hidden="1">#REF!</definedName>
    <definedName name="__APW_RESTORE_DATA7074__" hidden="1">#REF!</definedName>
    <definedName name="__APW_RESTORE_DATA7075__" hidden="1">#REF!</definedName>
    <definedName name="__APW_RESTORE_DATA7076__" hidden="1">#REF!</definedName>
    <definedName name="__APW_RESTORE_DATA7077__" hidden="1">#REF!</definedName>
    <definedName name="__APW_RESTORE_DATA7078__" hidden="1">#REF!</definedName>
    <definedName name="__APW_RESTORE_DATA7079__" hidden="1">#REF!</definedName>
    <definedName name="__APW_RESTORE_DATA708__" hidden="1">#REF!</definedName>
    <definedName name="__APW_RESTORE_DATA7080__" hidden="1">#REF!</definedName>
    <definedName name="__APW_RESTORE_DATA7081__" hidden="1">#REF!</definedName>
    <definedName name="__APW_RESTORE_DATA7082__" hidden="1">#REF!</definedName>
    <definedName name="__APW_RESTORE_DATA7083__" hidden="1">#REF!</definedName>
    <definedName name="__APW_RESTORE_DATA7084__" hidden="1">#REF!</definedName>
    <definedName name="__APW_RESTORE_DATA7085__" hidden="1">#REF!</definedName>
    <definedName name="__APW_RESTORE_DATA7086__" hidden="1">#REF!</definedName>
    <definedName name="__APW_RESTORE_DATA7087__" hidden="1">#REF!</definedName>
    <definedName name="__APW_RESTORE_DATA7088__" hidden="1">#REF!</definedName>
    <definedName name="__APW_RESTORE_DATA7089__" hidden="1">#REF!</definedName>
    <definedName name="__APW_RESTORE_DATA709__" hidden="1">#REF!</definedName>
    <definedName name="__APW_RESTORE_DATA7090__" hidden="1">#REF!</definedName>
    <definedName name="__APW_RESTORE_DATA7091__" hidden="1">#REF!</definedName>
    <definedName name="__APW_RESTORE_DATA7092__" hidden="1">#REF!</definedName>
    <definedName name="__APW_RESTORE_DATA7093__" hidden="1">#REF!</definedName>
    <definedName name="__APW_RESTORE_DATA7094__" hidden="1">#REF!</definedName>
    <definedName name="__APW_RESTORE_DATA7095__" hidden="1">#REF!</definedName>
    <definedName name="__APW_RESTORE_DATA7096__" hidden="1">#REF!</definedName>
    <definedName name="__APW_RESTORE_DATA7097__" hidden="1">#REF!</definedName>
    <definedName name="__APW_RESTORE_DATA7098__" hidden="1">#REF!</definedName>
    <definedName name="__APW_RESTORE_DATA7099__" hidden="1">#REF!</definedName>
    <definedName name="__APW_RESTORE_DATA71__" hidden="1">#REF!</definedName>
    <definedName name="__APW_RESTORE_DATA710__" hidden="1">#REF!</definedName>
    <definedName name="__APW_RESTORE_DATA7100__" hidden="1">#REF!</definedName>
    <definedName name="__APW_RESTORE_DATA7101__" hidden="1">#REF!</definedName>
    <definedName name="__APW_RESTORE_DATA7102__" hidden="1">#REF!</definedName>
    <definedName name="__APW_RESTORE_DATA7103__" hidden="1">#REF!</definedName>
    <definedName name="__APW_RESTORE_DATA7104__" hidden="1">#REF!</definedName>
    <definedName name="__APW_RESTORE_DATA7105__" hidden="1">#REF!</definedName>
    <definedName name="__APW_RESTORE_DATA7106__" hidden="1">#REF!</definedName>
    <definedName name="__APW_RESTORE_DATA7107__" hidden="1">#REF!</definedName>
    <definedName name="__APW_RESTORE_DATA7108__" hidden="1">#REF!</definedName>
    <definedName name="__APW_RESTORE_DATA7109__" hidden="1">#REF!</definedName>
    <definedName name="__APW_RESTORE_DATA711__" hidden="1">#REF!</definedName>
    <definedName name="__APW_RESTORE_DATA7110__" hidden="1">#REF!</definedName>
    <definedName name="__APW_RESTORE_DATA7111__" hidden="1">#REF!</definedName>
    <definedName name="__APW_RESTORE_DATA7112__" hidden="1">#REF!</definedName>
    <definedName name="__APW_RESTORE_DATA7113__" hidden="1">#REF!</definedName>
    <definedName name="__APW_RESTORE_DATA7114__" hidden="1">#REF!</definedName>
    <definedName name="__APW_RESTORE_DATA7115__" hidden="1">#REF!</definedName>
    <definedName name="__APW_RESTORE_DATA7116__" hidden="1">#REF!</definedName>
    <definedName name="__APW_RESTORE_DATA7117__" hidden="1">#REF!</definedName>
    <definedName name="__APW_RESTORE_DATA7118__" hidden="1">#REF!</definedName>
    <definedName name="__APW_RESTORE_DATA7119__" hidden="1">#REF!</definedName>
    <definedName name="__APW_RESTORE_DATA712__" hidden="1">#REF!</definedName>
    <definedName name="__APW_RESTORE_DATA7120__" hidden="1">#REF!</definedName>
    <definedName name="__APW_RESTORE_DATA7121__" hidden="1">#REF!</definedName>
    <definedName name="__APW_RESTORE_DATA7122__" hidden="1">#REF!</definedName>
    <definedName name="__APW_RESTORE_DATA7123__" hidden="1">#REF!</definedName>
    <definedName name="__APW_RESTORE_DATA7124__" hidden="1">#REF!</definedName>
    <definedName name="__APW_RESTORE_DATA7125__" hidden="1">#REF!</definedName>
    <definedName name="__APW_RESTORE_DATA7126__" hidden="1">#REF!</definedName>
    <definedName name="__APW_RESTORE_DATA7127__" hidden="1">#REF!</definedName>
    <definedName name="__APW_RESTORE_DATA7128__" hidden="1">#REF!</definedName>
    <definedName name="__APW_RESTORE_DATA7129__" hidden="1">#REF!</definedName>
    <definedName name="__APW_RESTORE_DATA713__" hidden="1">#REF!</definedName>
    <definedName name="__APW_RESTORE_DATA7130__" hidden="1">#REF!</definedName>
    <definedName name="__APW_RESTORE_DATA7131__" hidden="1">#REF!</definedName>
    <definedName name="__APW_RESTORE_DATA7132__" hidden="1">#REF!</definedName>
    <definedName name="__APW_RESTORE_DATA7133__" hidden="1">#REF!</definedName>
    <definedName name="__APW_RESTORE_DATA7134__" hidden="1">#REF!</definedName>
    <definedName name="__APW_RESTORE_DATA7135__" hidden="1">#REF!</definedName>
    <definedName name="__APW_RESTORE_DATA7136__" hidden="1">#REF!</definedName>
    <definedName name="__APW_RESTORE_DATA7137__" hidden="1">#REF!</definedName>
    <definedName name="__APW_RESTORE_DATA7138__" hidden="1">#REF!</definedName>
    <definedName name="__APW_RESTORE_DATA7139__" hidden="1">#REF!</definedName>
    <definedName name="__APW_RESTORE_DATA714__" hidden="1">#REF!</definedName>
    <definedName name="__APW_RESTORE_DATA7140__" hidden="1">#REF!</definedName>
    <definedName name="__APW_RESTORE_DATA7141__" hidden="1">#REF!</definedName>
    <definedName name="__APW_RESTORE_DATA7142__" hidden="1">#REF!</definedName>
    <definedName name="__APW_RESTORE_DATA7143__" hidden="1">#REF!</definedName>
    <definedName name="__APW_RESTORE_DATA7144__" hidden="1">#REF!</definedName>
    <definedName name="__APW_RESTORE_DATA7145__" hidden="1">#REF!</definedName>
    <definedName name="__APW_RESTORE_DATA7146__" hidden="1">#REF!</definedName>
    <definedName name="__APW_RESTORE_DATA7147__" hidden="1">#REF!</definedName>
    <definedName name="__APW_RESTORE_DATA7148__" hidden="1">#REF!</definedName>
    <definedName name="__APW_RESTORE_DATA7149__" hidden="1">#REF!</definedName>
    <definedName name="__APW_RESTORE_DATA715__" hidden="1">#REF!</definedName>
    <definedName name="__APW_RESTORE_DATA7150__" hidden="1">#REF!</definedName>
    <definedName name="__APW_RESTORE_DATA7151__" hidden="1">#REF!</definedName>
    <definedName name="__APW_RESTORE_DATA7152__" hidden="1">#REF!</definedName>
    <definedName name="__APW_RESTORE_DATA7153__" hidden="1">#REF!</definedName>
    <definedName name="__APW_RESTORE_DATA7154__" hidden="1">#REF!</definedName>
    <definedName name="__APW_RESTORE_DATA7155__" hidden="1">#REF!</definedName>
    <definedName name="__APW_RESTORE_DATA7156__" hidden="1">#REF!</definedName>
    <definedName name="__APW_RESTORE_DATA7157__" hidden="1">#REF!</definedName>
    <definedName name="__APW_RESTORE_DATA7158__" hidden="1">#REF!</definedName>
    <definedName name="__APW_RESTORE_DATA7159__" hidden="1">#REF!</definedName>
    <definedName name="__APW_RESTORE_DATA716__" hidden="1">#REF!</definedName>
    <definedName name="__APW_RESTORE_DATA7160__" hidden="1">#REF!</definedName>
    <definedName name="__APW_RESTORE_DATA7161__" hidden="1">#REF!</definedName>
    <definedName name="__APW_RESTORE_DATA7162__" hidden="1">#REF!</definedName>
    <definedName name="__APW_RESTORE_DATA7163__" hidden="1">#REF!</definedName>
    <definedName name="__APW_RESTORE_DATA7164__" hidden="1">#REF!</definedName>
    <definedName name="__APW_RESTORE_DATA7165__" hidden="1">#REF!</definedName>
    <definedName name="__APW_RESTORE_DATA7166__" hidden="1">#REF!</definedName>
    <definedName name="__APW_RESTORE_DATA7167__" hidden="1">#REF!</definedName>
    <definedName name="__APW_RESTORE_DATA7168__" hidden="1">#REF!</definedName>
    <definedName name="__APW_RESTORE_DATA7169__" hidden="1">#REF!</definedName>
    <definedName name="__APW_RESTORE_DATA717__" hidden="1">#REF!</definedName>
    <definedName name="__APW_RESTORE_DATA7170__" hidden="1">#REF!</definedName>
    <definedName name="__APW_RESTORE_DATA7171__" hidden="1">#REF!</definedName>
    <definedName name="__APW_RESTORE_DATA7172__" hidden="1">#REF!</definedName>
    <definedName name="__APW_RESTORE_DATA7173__" hidden="1">#REF!</definedName>
    <definedName name="__APW_RESTORE_DATA7174__" hidden="1">#REF!</definedName>
    <definedName name="__APW_RESTORE_DATA7175__" hidden="1">#REF!</definedName>
    <definedName name="__APW_RESTORE_DATA7176__" hidden="1">#REF!</definedName>
    <definedName name="__APW_RESTORE_DATA7177__" hidden="1">#REF!</definedName>
    <definedName name="__APW_RESTORE_DATA7178__" hidden="1">#REF!</definedName>
    <definedName name="__APW_RESTORE_DATA7179__" hidden="1">#REF!</definedName>
    <definedName name="__APW_RESTORE_DATA718__" hidden="1">#REF!</definedName>
    <definedName name="__APW_RESTORE_DATA7180__" hidden="1">#REF!</definedName>
    <definedName name="__APW_RESTORE_DATA7181__" hidden="1">#REF!</definedName>
    <definedName name="__APW_RESTORE_DATA7182__" hidden="1">#REF!</definedName>
    <definedName name="__APW_RESTORE_DATA7183__" hidden="1">#REF!</definedName>
    <definedName name="__APW_RESTORE_DATA7184__" hidden="1">#REF!</definedName>
    <definedName name="__APW_RESTORE_DATA7185__" hidden="1">#REF!</definedName>
    <definedName name="__APW_RESTORE_DATA7186__" hidden="1">#REF!</definedName>
    <definedName name="__APW_RESTORE_DATA7187__" hidden="1">#REF!</definedName>
    <definedName name="__APW_RESTORE_DATA7188__" hidden="1">#REF!</definedName>
    <definedName name="__APW_RESTORE_DATA7189__" hidden="1">#REF!</definedName>
    <definedName name="__APW_RESTORE_DATA719__" hidden="1">#REF!</definedName>
    <definedName name="__APW_RESTORE_DATA7190__" hidden="1">#REF!</definedName>
    <definedName name="__APW_RESTORE_DATA7191__" hidden="1">#REF!</definedName>
    <definedName name="__APW_RESTORE_DATA7192__" hidden="1">#REF!</definedName>
    <definedName name="__APW_RESTORE_DATA7193__" hidden="1">#REF!</definedName>
    <definedName name="__APW_RESTORE_DATA7194__" hidden="1">#REF!</definedName>
    <definedName name="__APW_RESTORE_DATA7195__" hidden="1">#REF!</definedName>
    <definedName name="__APW_RESTORE_DATA7196__" hidden="1">#REF!</definedName>
    <definedName name="__APW_RESTORE_DATA7197__" hidden="1">#REF!</definedName>
    <definedName name="__APW_RESTORE_DATA7198__" hidden="1">#REF!</definedName>
    <definedName name="__APW_RESTORE_DATA7199__" hidden="1">#REF!</definedName>
    <definedName name="__APW_RESTORE_DATA72__" hidden="1">#REF!</definedName>
    <definedName name="__APW_RESTORE_DATA720__" hidden="1">#REF!</definedName>
    <definedName name="__APW_RESTORE_DATA7200__" hidden="1">#REF!</definedName>
    <definedName name="__APW_RESTORE_DATA7201__" hidden="1">#REF!</definedName>
    <definedName name="__APW_RESTORE_DATA7202__" hidden="1">#REF!</definedName>
    <definedName name="__APW_RESTORE_DATA7203__" hidden="1">#REF!</definedName>
    <definedName name="__APW_RESTORE_DATA7204__" hidden="1">#REF!</definedName>
    <definedName name="__APW_RESTORE_DATA7205__" hidden="1">#REF!</definedName>
    <definedName name="__APW_RESTORE_DATA7206__" hidden="1">#REF!</definedName>
    <definedName name="__APW_RESTORE_DATA7207__" hidden="1">#REF!</definedName>
    <definedName name="__APW_RESTORE_DATA7208__" hidden="1">#REF!</definedName>
    <definedName name="__APW_RESTORE_DATA7209__" hidden="1">#REF!</definedName>
    <definedName name="__APW_RESTORE_DATA721__" hidden="1">#REF!</definedName>
    <definedName name="__APW_RESTORE_DATA7210__" hidden="1">#REF!</definedName>
    <definedName name="__APW_RESTORE_DATA7211__" hidden="1">#REF!</definedName>
    <definedName name="__APW_RESTORE_DATA7212__" hidden="1">#REF!</definedName>
    <definedName name="__APW_RESTORE_DATA7213__" hidden="1">#REF!</definedName>
    <definedName name="__APW_RESTORE_DATA7214__" hidden="1">#REF!</definedName>
    <definedName name="__APW_RESTORE_DATA7215__" hidden="1">#REF!</definedName>
    <definedName name="__APW_RESTORE_DATA7216__" hidden="1">#REF!</definedName>
    <definedName name="__APW_RESTORE_DATA7217__" hidden="1">#REF!</definedName>
    <definedName name="__APW_RESTORE_DATA7218__" hidden="1">#REF!</definedName>
    <definedName name="__APW_RESTORE_DATA7219__" hidden="1">#REF!</definedName>
    <definedName name="__APW_RESTORE_DATA722__" hidden="1">#REF!</definedName>
    <definedName name="__APW_RESTORE_DATA7220__" hidden="1">#REF!</definedName>
    <definedName name="__APW_RESTORE_DATA7221__" hidden="1">#REF!</definedName>
    <definedName name="__APW_RESTORE_DATA7222__" hidden="1">#REF!</definedName>
    <definedName name="__APW_RESTORE_DATA7223__" hidden="1">#REF!</definedName>
    <definedName name="__APW_RESTORE_DATA7224__" hidden="1">#REF!</definedName>
    <definedName name="__APW_RESTORE_DATA7225__" hidden="1">#REF!</definedName>
    <definedName name="__APW_RESTORE_DATA7226__" hidden="1">#REF!</definedName>
    <definedName name="__APW_RESTORE_DATA7227__" hidden="1">#REF!</definedName>
    <definedName name="__APW_RESTORE_DATA7228__" hidden="1">#REF!</definedName>
    <definedName name="__APW_RESTORE_DATA7229__" hidden="1">#REF!</definedName>
    <definedName name="__APW_RESTORE_DATA723__" hidden="1">#REF!</definedName>
    <definedName name="__APW_RESTORE_DATA7230__" hidden="1">#REF!</definedName>
    <definedName name="__APW_RESTORE_DATA7231__" hidden="1">#REF!</definedName>
    <definedName name="__APW_RESTORE_DATA7232__" hidden="1">#REF!</definedName>
    <definedName name="__APW_RESTORE_DATA7233__" hidden="1">#REF!</definedName>
    <definedName name="__APW_RESTORE_DATA7234__" hidden="1">#REF!</definedName>
    <definedName name="__APW_RESTORE_DATA7235__" hidden="1">#REF!</definedName>
    <definedName name="__APW_RESTORE_DATA7236__" hidden="1">#REF!</definedName>
    <definedName name="__APW_RESTORE_DATA7237__" hidden="1">#REF!</definedName>
    <definedName name="__APW_RESTORE_DATA7238__" hidden="1">#REF!</definedName>
    <definedName name="__APW_RESTORE_DATA7239__" hidden="1">#REF!</definedName>
    <definedName name="__APW_RESTORE_DATA724__" hidden="1">#REF!</definedName>
    <definedName name="__APW_RESTORE_DATA7240__" hidden="1">#REF!</definedName>
    <definedName name="__APW_RESTORE_DATA7241__" hidden="1">#REF!</definedName>
    <definedName name="__APW_RESTORE_DATA7242__" hidden="1">#REF!</definedName>
    <definedName name="__APW_RESTORE_DATA7243__" hidden="1">#REF!</definedName>
    <definedName name="__APW_RESTORE_DATA7244__" hidden="1">#REF!</definedName>
    <definedName name="__APW_RESTORE_DATA7245__" hidden="1">#REF!</definedName>
    <definedName name="__APW_RESTORE_DATA7246__" hidden="1">#REF!</definedName>
    <definedName name="__APW_RESTORE_DATA7247__" hidden="1">#REF!</definedName>
    <definedName name="__APW_RESTORE_DATA7248__" hidden="1">#REF!</definedName>
    <definedName name="__APW_RESTORE_DATA7249__" hidden="1">#REF!</definedName>
    <definedName name="__APW_RESTORE_DATA725__" hidden="1">#REF!</definedName>
    <definedName name="__APW_RESTORE_DATA7250__" hidden="1">#REF!</definedName>
    <definedName name="__APW_RESTORE_DATA7251__" hidden="1">#REF!</definedName>
    <definedName name="__APW_RESTORE_DATA7252__" hidden="1">#REF!</definedName>
    <definedName name="__APW_RESTORE_DATA7253__" hidden="1">#REF!</definedName>
    <definedName name="__APW_RESTORE_DATA7254__" hidden="1">#REF!</definedName>
    <definedName name="__APW_RESTORE_DATA7255__" hidden="1">#REF!</definedName>
    <definedName name="__APW_RESTORE_DATA7256__" hidden="1">#REF!</definedName>
    <definedName name="__APW_RESTORE_DATA7257__" hidden="1">#REF!</definedName>
    <definedName name="__APW_RESTORE_DATA7258__" hidden="1">#REF!</definedName>
    <definedName name="__APW_RESTORE_DATA7259__" hidden="1">#REF!</definedName>
    <definedName name="__APW_RESTORE_DATA726__" hidden="1">#REF!</definedName>
    <definedName name="__APW_RESTORE_DATA7260__" hidden="1">#REF!</definedName>
    <definedName name="__APW_RESTORE_DATA7261__" hidden="1">#REF!</definedName>
    <definedName name="__APW_RESTORE_DATA7262__" hidden="1">#REF!</definedName>
    <definedName name="__APW_RESTORE_DATA7263__" hidden="1">#REF!</definedName>
    <definedName name="__APW_RESTORE_DATA7264__" hidden="1">#REF!</definedName>
    <definedName name="__APW_RESTORE_DATA7265__" hidden="1">#REF!</definedName>
    <definedName name="__APW_RESTORE_DATA7266__" hidden="1">#REF!</definedName>
    <definedName name="__APW_RESTORE_DATA7267__" hidden="1">#REF!</definedName>
    <definedName name="__APW_RESTORE_DATA7268__" hidden="1">#REF!</definedName>
    <definedName name="__APW_RESTORE_DATA7269__" hidden="1">#REF!</definedName>
    <definedName name="__APW_RESTORE_DATA727__" hidden="1">#REF!</definedName>
    <definedName name="__APW_RESTORE_DATA7270__" hidden="1">#REF!</definedName>
    <definedName name="__APW_RESTORE_DATA7271__" hidden="1">#REF!</definedName>
    <definedName name="__APW_RESTORE_DATA7272__" hidden="1">#REF!</definedName>
    <definedName name="__APW_RESTORE_DATA7273__" hidden="1">#REF!</definedName>
    <definedName name="__APW_RESTORE_DATA7274__" hidden="1">#REF!</definedName>
    <definedName name="__APW_RESTORE_DATA7275__" hidden="1">#REF!</definedName>
    <definedName name="__APW_RESTORE_DATA7276__" hidden="1">#REF!</definedName>
    <definedName name="__APW_RESTORE_DATA7277__" hidden="1">#REF!</definedName>
    <definedName name="__APW_RESTORE_DATA7278__" hidden="1">#REF!</definedName>
    <definedName name="__APW_RESTORE_DATA7279__" hidden="1">#REF!</definedName>
    <definedName name="__APW_RESTORE_DATA728__" hidden="1">#REF!</definedName>
    <definedName name="__APW_RESTORE_DATA7280__" hidden="1">#REF!</definedName>
    <definedName name="__APW_RESTORE_DATA7281__" hidden="1">#REF!</definedName>
    <definedName name="__APW_RESTORE_DATA7282__" hidden="1">#REF!</definedName>
    <definedName name="__APW_RESTORE_DATA7283__" hidden="1">#REF!</definedName>
    <definedName name="__APW_RESTORE_DATA7284__" hidden="1">#REF!</definedName>
    <definedName name="__APW_RESTORE_DATA7285__" hidden="1">#REF!</definedName>
    <definedName name="__APW_RESTORE_DATA7286__" hidden="1">#REF!</definedName>
    <definedName name="__APW_RESTORE_DATA7287__" hidden="1">#REF!</definedName>
    <definedName name="__APW_RESTORE_DATA7288__" hidden="1">#REF!</definedName>
    <definedName name="__APW_RESTORE_DATA7289__" hidden="1">#REF!</definedName>
    <definedName name="__APW_RESTORE_DATA729__" hidden="1">#REF!</definedName>
    <definedName name="__APW_RESTORE_DATA7290__" hidden="1">#REF!</definedName>
    <definedName name="__APW_RESTORE_DATA7291__" hidden="1">#REF!</definedName>
    <definedName name="__APW_RESTORE_DATA7292__" hidden="1">#REF!</definedName>
    <definedName name="__APW_RESTORE_DATA7293__" hidden="1">#REF!</definedName>
    <definedName name="__APW_RESTORE_DATA7294__" hidden="1">#REF!</definedName>
    <definedName name="__APW_RESTORE_DATA7295__" hidden="1">#REF!</definedName>
    <definedName name="__APW_RESTORE_DATA7296__" hidden="1">#REF!</definedName>
    <definedName name="__APW_RESTORE_DATA7297__" hidden="1">#REF!</definedName>
    <definedName name="__APW_RESTORE_DATA7298__" hidden="1">#REF!</definedName>
    <definedName name="__APW_RESTORE_DATA7299__" hidden="1">#REF!</definedName>
    <definedName name="__APW_RESTORE_DATA73__" hidden="1">#REF!</definedName>
    <definedName name="__APW_RESTORE_DATA730__" hidden="1">#REF!</definedName>
    <definedName name="__APW_RESTORE_DATA7300__" hidden="1">#REF!</definedName>
    <definedName name="__APW_RESTORE_DATA7301__" hidden="1">#REF!</definedName>
    <definedName name="__APW_RESTORE_DATA7302__" hidden="1">#REF!</definedName>
    <definedName name="__APW_RESTORE_DATA7303__" hidden="1">#REF!</definedName>
    <definedName name="__APW_RESTORE_DATA7304__" hidden="1">#REF!</definedName>
    <definedName name="__APW_RESTORE_DATA7305__" hidden="1">#REF!</definedName>
    <definedName name="__APW_RESTORE_DATA7306__" hidden="1">#REF!</definedName>
    <definedName name="__APW_RESTORE_DATA7307__" hidden="1">#REF!</definedName>
    <definedName name="__APW_RESTORE_DATA7308__" hidden="1">#REF!</definedName>
    <definedName name="__APW_RESTORE_DATA7309__" hidden="1">#REF!</definedName>
    <definedName name="__APW_RESTORE_DATA731__" hidden="1">#REF!</definedName>
    <definedName name="__APW_RESTORE_DATA7310__" hidden="1">#REF!</definedName>
    <definedName name="__APW_RESTORE_DATA7311__" hidden="1">#REF!</definedName>
    <definedName name="__APW_RESTORE_DATA7312__" hidden="1">#REF!</definedName>
    <definedName name="__APW_RESTORE_DATA7313__" hidden="1">#REF!</definedName>
    <definedName name="__APW_RESTORE_DATA7314__" hidden="1">#REF!</definedName>
    <definedName name="__APW_RESTORE_DATA7315__" hidden="1">#REF!</definedName>
    <definedName name="__APW_RESTORE_DATA7316__" hidden="1">#REF!</definedName>
    <definedName name="__APW_RESTORE_DATA7317__" hidden="1">#REF!</definedName>
    <definedName name="__APW_RESTORE_DATA7318__" hidden="1">#REF!</definedName>
    <definedName name="__APW_RESTORE_DATA7319__" hidden="1">#REF!</definedName>
    <definedName name="__APW_RESTORE_DATA732__" hidden="1">#REF!</definedName>
    <definedName name="__APW_RESTORE_DATA7320__" hidden="1">#REF!</definedName>
    <definedName name="__APW_RESTORE_DATA7321__" hidden="1">#REF!</definedName>
    <definedName name="__APW_RESTORE_DATA7322__" hidden="1">#REF!</definedName>
    <definedName name="__APW_RESTORE_DATA7323__" hidden="1">#REF!</definedName>
    <definedName name="__APW_RESTORE_DATA7324__" hidden="1">#REF!</definedName>
    <definedName name="__APW_RESTORE_DATA7325__" hidden="1">#REF!</definedName>
    <definedName name="__APW_RESTORE_DATA7326__" hidden="1">#REF!</definedName>
    <definedName name="__APW_RESTORE_DATA7327__" hidden="1">#REF!</definedName>
    <definedName name="__APW_RESTORE_DATA7328__" hidden="1">#REF!</definedName>
    <definedName name="__APW_RESTORE_DATA7329__" hidden="1">#REF!</definedName>
    <definedName name="__APW_RESTORE_DATA733__" hidden="1">#REF!</definedName>
    <definedName name="__APW_RESTORE_DATA7330__" hidden="1">#REF!</definedName>
    <definedName name="__APW_RESTORE_DATA7331__" hidden="1">#REF!</definedName>
    <definedName name="__APW_RESTORE_DATA7332__" hidden="1">#REF!</definedName>
    <definedName name="__APW_RESTORE_DATA7333__" hidden="1">#REF!</definedName>
    <definedName name="__APW_RESTORE_DATA7334__" hidden="1">#REF!</definedName>
    <definedName name="__APW_RESTORE_DATA7335__" hidden="1">#REF!</definedName>
    <definedName name="__APW_RESTORE_DATA7336__" hidden="1">#REF!</definedName>
    <definedName name="__APW_RESTORE_DATA7337__" hidden="1">#REF!</definedName>
    <definedName name="__APW_RESTORE_DATA7338__" hidden="1">#REF!</definedName>
    <definedName name="__APW_RESTORE_DATA7339__" hidden="1">#REF!</definedName>
    <definedName name="__APW_RESTORE_DATA734__" hidden="1">#REF!</definedName>
    <definedName name="__APW_RESTORE_DATA7340__" hidden="1">#REF!</definedName>
    <definedName name="__APW_RESTORE_DATA7341__" hidden="1">#REF!</definedName>
    <definedName name="__APW_RESTORE_DATA7342__" hidden="1">#REF!</definedName>
    <definedName name="__APW_RESTORE_DATA7343__" hidden="1">#REF!</definedName>
    <definedName name="__APW_RESTORE_DATA7344__" hidden="1">#REF!</definedName>
    <definedName name="__APW_RESTORE_DATA7345__" hidden="1">#REF!</definedName>
    <definedName name="__APW_RESTORE_DATA7346__" hidden="1">#REF!</definedName>
    <definedName name="__APW_RESTORE_DATA7347__" hidden="1">#REF!</definedName>
    <definedName name="__APW_RESTORE_DATA7348__" hidden="1">#REF!</definedName>
    <definedName name="__APW_RESTORE_DATA7349__" hidden="1">#REF!</definedName>
    <definedName name="__APW_RESTORE_DATA735__" hidden="1">#REF!</definedName>
    <definedName name="__APW_RESTORE_DATA7350__" hidden="1">#REF!</definedName>
    <definedName name="__APW_RESTORE_DATA7351__" hidden="1">#REF!</definedName>
    <definedName name="__APW_RESTORE_DATA7352__" hidden="1">#REF!</definedName>
    <definedName name="__APW_RESTORE_DATA7353__" hidden="1">#REF!</definedName>
    <definedName name="__APW_RESTORE_DATA7354__" hidden="1">#REF!</definedName>
    <definedName name="__APW_RESTORE_DATA7355__" hidden="1">#REF!</definedName>
    <definedName name="__APW_RESTORE_DATA7356__" hidden="1">#REF!</definedName>
    <definedName name="__APW_RESTORE_DATA7357__" hidden="1">#REF!</definedName>
    <definedName name="__APW_RESTORE_DATA7358__" hidden="1">#REF!</definedName>
    <definedName name="__APW_RESTORE_DATA7359__" hidden="1">#REF!</definedName>
    <definedName name="__APW_RESTORE_DATA736__" hidden="1">#REF!</definedName>
    <definedName name="__APW_RESTORE_DATA7360__" hidden="1">#REF!</definedName>
    <definedName name="__APW_RESTORE_DATA7361__" hidden="1">#REF!</definedName>
    <definedName name="__APW_RESTORE_DATA7362__" hidden="1">#REF!</definedName>
    <definedName name="__APW_RESTORE_DATA7363__" hidden="1">#REF!</definedName>
    <definedName name="__APW_RESTORE_DATA7364__" hidden="1">#REF!</definedName>
    <definedName name="__APW_RESTORE_DATA7365__" hidden="1">#REF!</definedName>
    <definedName name="__APW_RESTORE_DATA7366__" hidden="1">#REF!</definedName>
    <definedName name="__APW_RESTORE_DATA7367__" hidden="1">#REF!</definedName>
    <definedName name="__APW_RESTORE_DATA7368__" hidden="1">#REF!</definedName>
    <definedName name="__APW_RESTORE_DATA7369__" hidden="1">#REF!</definedName>
    <definedName name="__APW_RESTORE_DATA737__" hidden="1">#REF!</definedName>
    <definedName name="__APW_RESTORE_DATA7370__" hidden="1">#REF!</definedName>
    <definedName name="__APW_RESTORE_DATA7371__" hidden="1">#REF!</definedName>
    <definedName name="__APW_RESTORE_DATA7372__" hidden="1">#REF!</definedName>
    <definedName name="__APW_RESTORE_DATA7373__" hidden="1">#REF!</definedName>
    <definedName name="__APW_RESTORE_DATA7374__" hidden="1">#REF!</definedName>
    <definedName name="__APW_RESTORE_DATA7375__" hidden="1">#REF!</definedName>
    <definedName name="__APW_RESTORE_DATA7376__" hidden="1">#REF!</definedName>
    <definedName name="__APW_RESTORE_DATA7377__" hidden="1">#REF!</definedName>
    <definedName name="__APW_RESTORE_DATA7378__" hidden="1">#REF!</definedName>
    <definedName name="__APW_RESTORE_DATA7379__" hidden="1">#REF!</definedName>
    <definedName name="__APW_RESTORE_DATA738__" hidden="1">#REF!</definedName>
    <definedName name="__APW_RESTORE_DATA7380__" hidden="1">#REF!</definedName>
    <definedName name="__APW_RESTORE_DATA7381__" hidden="1">#REF!</definedName>
    <definedName name="__APW_RESTORE_DATA7382__" hidden="1">#REF!</definedName>
    <definedName name="__APW_RESTORE_DATA7383__" hidden="1">#REF!</definedName>
    <definedName name="__APW_RESTORE_DATA7384__" hidden="1">#REF!</definedName>
    <definedName name="__APW_RESTORE_DATA7385__" hidden="1">#REF!</definedName>
    <definedName name="__APW_RESTORE_DATA7386__" hidden="1">#REF!</definedName>
    <definedName name="__APW_RESTORE_DATA7387__" hidden="1">#REF!</definedName>
    <definedName name="__APW_RESTORE_DATA7388__" hidden="1">#REF!</definedName>
    <definedName name="__APW_RESTORE_DATA7389__" hidden="1">#REF!</definedName>
    <definedName name="__APW_RESTORE_DATA739__" hidden="1">#REF!</definedName>
    <definedName name="__APW_RESTORE_DATA7390__" hidden="1">#REF!</definedName>
    <definedName name="__APW_RESTORE_DATA7391__" hidden="1">#REF!</definedName>
    <definedName name="__APW_RESTORE_DATA7392__" hidden="1">#REF!</definedName>
    <definedName name="__APW_RESTORE_DATA7393__" hidden="1">#REF!</definedName>
    <definedName name="__APW_RESTORE_DATA7394__" hidden="1">#REF!</definedName>
    <definedName name="__APW_RESTORE_DATA7395__" hidden="1">#REF!</definedName>
    <definedName name="__APW_RESTORE_DATA7396__" hidden="1">#REF!</definedName>
    <definedName name="__APW_RESTORE_DATA7397__" hidden="1">#REF!</definedName>
    <definedName name="__APW_RESTORE_DATA7398__" hidden="1">#REF!</definedName>
    <definedName name="__APW_RESTORE_DATA7399__" hidden="1">#REF!</definedName>
    <definedName name="__APW_RESTORE_DATA74__" hidden="1">#REF!</definedName>
    <definedName name="__APW_RESTORE_DATA740__" hidden="1">#REF!</definedName>
    <definedName name="__APW_RESTORE_DATA7400__" hidden="1">#REF!</definedName>
    <definedName name="__APW_RESTORE_DATA7401__" hidden="1">#REF!</definedName>
    <definedName name="__APW_RESTORE_DATA7402__" hidden="1">#REF!</definedName>
    <definedName name="__APW_RESTORE_DATA7403__" hidden="1">#REF!</definedName>
    <definedName name="__APW_RESTORE_DATA7404__" hidden="1">#REF!</definedName>
    <definedName name="__APW_RESTORE_DATA7405__" hidden="1">#REF!</definedName>
    <definedName name="__APW_RESTORE_DATA7406__" hidden="1">#REF!</definedName>
    <definedName name="__APW_RESTORE_DATA7407__" hidden="1">#REF!</definedName>
    <definedName name="__APW_RESTORE_DATA7408__" hidden="1">#REF!</definedName>
    <definedName name="__APW_RESTORE_DATA7409__" hidden="1">#REF!</definedName>
    <definedName name="__APW_RESTORE_DATA741__" hidden="1">#REF!</definedName>
    <definedName name="__APW_RESTORE_DATA7410__" hidden="1">#REF!</definedName>
    <definedName name="__APW_RESTORE_DATA7411__" hidden="1">#REF!</definedName>
    <definedName name="__APW_RESTORE_DATA7412__" hidden="1">#REF!</definedName>
    <definedName name="__APW_RESTORE_DATA7413__" hidden="1">#REF!</definedName>
    <definedName name="__APW_RESTORE_DATA7414__" hidden="1">#REF!</definedName>
    <definedName name="__APW_RESTORE_DATA7415__" hidden="1">#REF!</definedName>
    <definedName name="__APW_RESTORE_DATA7416__" hidden="1">#REF!</definedName>
    <definedName name="__APW_RESTORE_DATA7417__" hidden="1">#REF!</definedName>
    <definedName name="__APW_RESTORE_DATA7418__" hidden="1">#REF!</definedName>
    <definedName name="__APW_RESTORE_DATA7419__" hidden="1">#REF!</definedName>
    <definedName name="__APW_RESTORE_DATA742__" hidden="1">#REF!</definedName>
    <definedName name="__APW_RESTORE_DATA7420__" hidden="1">#REF!</definedName>
    <definedName name="__APW_RESTORE_DATA7421__" hidden="1">#REF!</definedName>
    <definedName name="__APW_RESTORE_DATA7422__" hidden="1">#REF!</definedName>
    <definedName name="__APW_RESTORE_DATA7423__" hidden="1">#REF!</definedName>
    <definedName name="__APW_RESTORE_DATA7424__" hidden="1">#REF!</definedName>
    <definedName name="__APW_RESTORE_DATA7425__" hidden="1">#REF!</definedName>
    <definedName name="__APW_RESTORE_DATA7426__" hidden="1">#REF!</definedName>
    <definedName name="__APW_RESTORE_DATA7427__" hidden="1">#REF!</definedName>
    <definedName name="__APW_RESTORE_DATA7428__" hidden="1">#REF!</definedName>
    <definedName name="__APW_RESTORE_DATA7429__" hidden="1">#REF!</definedName>
    <definedName name="__APW_RESTORE_DATA743__" hidden="1">#REF!</definedName>
    <definedName name="__APW_RESTORE_DATA7430__" hidden="1">#REF!</definedName>
    <definedName name="__APW_RESTORE_DATA7431__" hidden="1">#REF!</definedName>
    <definedName name="__APW_RESTORE_DATA7432__" hidden="1">#REF!</definedName>
    <definedName name="__APW_RESTORE_DATA7433__" hidden="1">#REF!</definedName>
    <definedName name="__APW_RESTORE_DATA7434__" hidden="1">#REF!</definedName>
    <definedName name="__APW_RESTORE_DATA7435__" hidden="1">#REF!</definedName>
    <definedName name="__APW_RESTORE_DATA7436__" hidden="1">#REF!</definedName>
    <definedName name="__APW_RESTORE_DATA7437__" hidden="1">#REF!</definedName>
    <definedName name="__APW_RESTORE_DATA7438__" hidden="1">#REF!</definedName>
    <definedName name="__APW_RESTORE_DATA7439__" hidden="1">#REF!</definedName>
    <definedName name="__APW_RESTORE_DATA744__" hidden="1">#REF!</definedName>
    <definedName name="__APW_RESTORE_DATA7440__" hidden="1">#REF!</definedName>
    <definedName name="__APW_RESTORE_DATA7441__" hidden="1">#REF!</definedName>
    <definedName name="__APW_RESTORE_DATA7442__" hidden="1">#REF!</definedName>
    <definedName name="__APW_RESTORE_DATA7443__" hidden="1">#REF!</definedName>
    <definedName name="__APW_RESTORE_DATA7444__" hidden="1">#REF!</definedName>
    <definedName name="__APW_RESTORE_DATA7445__" hidden="1">#REF!</definedName>
    <definedName name="__APW_RESTORE_DATA7446__" hidden="1">#REF!</definedName>
    <definedName name="__APW_RESTORE_DATA7447__" hidden="1">#REF!</definedName>
    <definedName name="__APW_RESTORE_DATA7448__" hidden="1">#REF!</definedName>
    <definedName name="__APW_RESTORE_DATA7449__" hidden="1">#REF!</definedName>
    <definedName name="__APW_RESTORE_DATA745__" hidden="1">#REF!</definedName>
    <definedName name="__APW_RESTORE_DATA7450__" hidden="1">#REF!</definedName>
    <definedName name="__APW_RESTORE_DATA7451__" hidden="1">#REF!</definedName>
    <definedName name="__APW_RESTORE_DATA7452__" hidden="1">#REF!</definedName>
    <definedName name="__APW_RESTORE_DATA7453__" hidden="1">#REF!</definedName>
    <definedName name="__APW_RESTORE_DATA7454__" hidden="1">#REF!</definedName>
    <definedName name="__APW_RESTORE_DATA7455__" hidden="1">#REF!</definedName>
    <definedName name="__APW_RESTORE_DATA7456__" hidden="1">#REF!</definedName>
    <definedName name="__APW_RESTORE_DATA7457__" hidden="1">#REF!</definedName>
    <definedName name="__APW_RESTORE_DATA7458__" hidden="1">#REF!</definedName>
    <definedName name="__APW_RESTORE_DATA7459__" hidden="1">#REF!</definedName>
    <definedName name="__APW_RESTORE_DATA746__" hidden="1">#REF!</definedName>
    <definedName name="__APW_RESTORE_DATA7460__" hidden="1">#REF!</definedName>
    <definedName name="__APW_RESTORE_DATA7461__" hidden="1">#REF!</definedName>
    <definedName name="__APW_RESTORE_DATA7462__" hidden="1">#REF!</definedName>
    <definedName name="__APW_RESTORE_DATA7463__" hidden="1">#REF!</definedName>
    <definedName name="__APW_RESTORE_DATA7464__" hidden="1">#REF!</definedName>
    <definedName name="__APW_RESTORE_DATA7465__" hidden="1">#REF!</definedName>
    <definedName name="__APW_RESTORE_DATA7466__" hidden="1">#REF!</definedName>
    <definedName name="__APW_RESTORE_DATA7467__" hidden="1">#REF!</definedName>
    <definedName name="__APW_RESTORE_DATA7468__" hidden="1">#REF!</definedName>
    <definedName name="__APW_RESTORE_DATA7469__" hidden="1">#REF!</definedName>
    <definedName name="__APW_RESTORE_DATA747__" hidden="1">#REF!</definedName>
    <definedName name="__APW_RESTORE_DATA7470__" hidden="1">#REF!</definedName>
    <definedName name="__APW_RESTORE_DATA7471__" hidden="1">#REF!</definedName>
    <definedName name="__APW_RESTORE_DATA7472__" hidden="1">#REF!</definedName>
    <definedName name="__APW_RESTORE_DATA7473__" hidden="1">#REF!</definedName>
    <definedName name="__APW_RESTORE_DATA7474__" hidden="1">#REF!</definedName>
    <definedName name="__APW_RESTORE_DATA7475__" hidden="1">#REF!</definedName>
    <definedName name="__APW_RESTORE_DATA7476__" hidden="1">#REF!</definedName>
    <definedName name="__APW_RESTORE_DATA7477__" hidden="1">#REF!</definedName>
    <definedName name="__APW_RESTORE_DATA7478__" hidden="1">#REF!</definedName>
    <definedName name="__APW_RESTORE_DATA7479__" hidden="1">#REF!</definedName>
    <definedName name="__APW_RESTORE_DATA748__" hidden="1">#REF!</definedName>
    <definedName name="__APW_RESTORE_DATA7480__" hidden="1">#REF!</definedName>
    <definedName name="__APW_RESTORE_DATA7481__" hidden="1">#REF!</definedName>
    <definedName name="__APW_RESTORE_DATA7482__" hidden="1">#REF!</definedName>
    <definedName name="__APW_RESTORE_DATA7483__" hidden="1">#REF!</definedName>
    <definedName name="__APW_RESTORE_DATA7484__" hidden="1">#REF!</definedName>
    <definedName name="__APW_RESTORE_DATA7485__" hidden="1">#REF!</definedName>
    <definedName name="__APW_RESTORE_DATA7486__" hidden="1">#REF!</definedName>
    <definedName name="__APW_RESTORE_DATA7487__" hidden="1">#REF!</definedName>
    <definedName name="__APW_RESTORE_DATA7488__" hidden="1">#REF!</definedName>
    <definedName name="__APW_RESTORE_DATA7489__" hidden="1">#REF!</definedName>
    <definedName name="__APW_RESTORE_DATA749__" hidden="1">#REF!</definedName>
    <definedName name="__APW_RESTORE_DATA7490__" hidden="1">#REF!</definedName>
    <definedName name="__APW_RESTORE_DATA7491__" hidden="1">#REF!</definedName>
    <definedName name="__APW_RESTORE_DATA7492__" hidden="1">#REF!</definedName>
    <definedName name="__APW_RESTORE_DATA7493__" hidden="1">#REF!</definedName>
    <definedName name="__APW_RESTORE_DATA7494__" hidden="1">#REF!</definedName>
    <definedName name="__APW_RESTORE_DATA7495__" hidden="1">#REF!</definedName>
    <definedName name="__APW_RESTORE_DATA7496__" hidden="1">#REF!</definedName>
    <definedName name="__APW_RESTORE_DATA7497__" hidden="1">#REF!</definedName>
    <definedName name="__APW_RESTORE_DATA7498__" hidden="1">#REF!</definedName>
    <definedName name="__APW_RESTORE_DATA7499__" hidden="1">#REF!</definedName>
    <definedName name="__APW_RESTORE_DATA75__" hidden="1">#REF!</definedName>
    <definedName name="__APW_RESTORE_DATA750__" hidden="1">#REF!</definedName>
    <definedName name="__APW_RESTORE_DATA7500__" hidden="1">#REF!</definedName>
    <definedName name="__APW_RESTORE_DATA7501__" hidden="1">#REF!</definedName>
    <definedName name="__APW_RESTORE_DATA7502__" hidden="1">#REF!</definedName>
    <definedName name="__APW_RESTORE_DATA7503__" hidden="1">#REF!</definedName>
    <definedName name="__APW_RESTORE_DATA7504__" hidden="1">#REF!</definedName>
    <definedName name="__APW_RESTORE_DATA7505__" hidden="1">#REF!</definedName>
    <definedName name="__APW_RESTORE_DATA7506__" hidden="1">#REF!</definedName>
    <definedName name="__APW_RESTORE_DATA7507__" hidden="1">#REF!</definedName>
    <definedName name="__APW_RESTORE_DATA7508__" hidden="1">#REF!</definedName>
    <definedName name="__APW_RESTORE_DATA7509__" hidden="1">#REF!</definedName>
    <definedName name="__APW_RESTORE_DATA751__" hidden="1">#REF!</definedName>
    <definedName name="__APW_RESTORE_DATA7510__" hidden="1">#REF!</definedName>
    <definedName name="__APW_RESTORE_DATA7511__" hidden="1">#REF!</definedName>
    <definedName name="__APW_RESTORE_DATA7512__" hidden="1">#REF!</definedName>
    <definedName name="__APW_RESTORE_DATA7513__" hidden="1">#REF!</definedName>
    <definedName name="__APW_RESTORE_DATA7514__" hidden="1">#REF!</definedName>
    <definedName name="__APW_RESTORE_DATA7515__" hidden="1">#REF!</definedName>
    <definedName name="__APW_RESTORE_DATA7516__" hidden="1">#REF!</definedName>
    <definedName name="__APW_RESTORE_DATA7517__" hidden="1">#REF!</definedName>
    <definedName name="__APW_RESTORE_DATA7518__" hidden="1">#REF!</definedName>
    <definedName name="__APW_RESTORE_DATA7519__" hidden="1">#REF!</definedName>
    <definedName name="__APW_RESTORE_DATA752__" hidden="1">#REF!</definedName>
    <definedName name="__APW_RESTORE_DATA7520__" hidden="1">#REF!</definedName>
    <definedName name="__APW_RESTORE_DATA7521__" hidden="1">#REF!</definedName>
    <definedName name="__APW_RESTORE_DATA7522__" hidden="1">#REF!</definedName>
    <definedName name="__APW_RESTORE_DATA7523__" hidden="1">#REF!</definedName>
    <definedName name="__APW_RESTORE_DATA7524__" hidden="1">#REF!</definedName>
    <definedName name="__APW_RESTORE_DATA7525__" hidden="1">#REF!</definedName>
    <definedName name="__APW_RESTORE_DATA7526__" hidden="1">#REF!</definedName>
    <definedName name="__APW_RESTORE_DATA7527__" hidden="1">#REF!</definedName>
    <definedName name="__APW_RESTORE_DATA7528__" hidden="1">#REF!</definedName>
    <definedName name="__APW_RESTORE_DATA7529__" hidden="1">#REF!</definedName>
    <definedName name="__APW_RESTORE_DATA753__" hidden="1">#REF!</definedName>
    <definedName name="__APW_RESTORE_DATA7530__" hidden="1">#REF!</definedName>
    <definedName name="__APW_RESTORE_DATA7531__" hidden="1">#REF!</definedName>
    <definedName name="__APW_RESTORE_DATA7532__" hidden="1">#REF!</definedName>
    <definedName name="__APW_RESTORE_DATA7533__" hidden="1">#REF!</definedName>
    <definedName name="__APW_RESTORE_DATA7534__" hidden="1">#REF!</definedName>
    <definedName name="__APW_RESTORE_DATA7535__" hidden="1">#REF!</definedName>
    <definedName name="__APW_RESTORE_DATA7536__" hidden="1">#REF!</definedName>
    <definedName name="__APW_RESTORE_DATA7537__" hidden="1">#REF!</definedName>
    <definedName name="__APW_RESTORE_DATA7538__" hidden="1">#REF!</definedName>
    <definedName name="__APW_RESTORE_DATA7539__" hidden="1">#REF!</definedName>
    <definedName name="__APW_RESTORE_DATA754__" hidden="1">#REF!</definedName>
    <definedName name="__APW_RESTORE_DATA7540__" hidden="1">#REF!</definedName>
    <definedName name="__APW_RESTORE_DATA7541__" hidden="1">#REF!</definedName>
    <definedName name="__APW_RESTORE_DATA7542__" hidden="1">#REF!</definedName>
    <definedName name="__APW_RESTORE_DATA7543__" hidden="1">#REF!</definedName>
    <definedName name="__APW_RESTORE_DATA7544__" hidden="1">#REF!</definedName>
    <definedName name="__APW_RESTORE_DATA7545__" hidden="1">#REF!</definedName>
    <definedName name="__APW_RESTORE_DATA7546__" hidden="1">#REF!</definedName>
    <definedName name="__APW_RESTORE_DATA7547__" hidden="1">#REF!</definedName>
    <definedName name="__APW_RESTORE_DATA7548__" hidden="1">#REF!</definedName>
    <definedName name="__APW_RESTORE_DATA7549__" hidden="1">#REF!</definedName>
    <definedName name="__APW_RESTORE_DATA755__" hidden="1">#REF!</definedName>
    <definedName name="__APW_RESTORE_DATA7550__" hidden="1">#REF!</definedName>
    <definedName name="__APW_RESTORE_DATA7551__" hidden="1">#REF!</definedName>
    <definedName name="__APW_RESTORE_DATA7552__" hidden="1">#REF!</definedName>
    <definedName name="__APW_RESTORE_DATA7553__" hidden="1">#REF!</definedName>
    <definedName name="__APW_RESTORE_DATA7554__" hidden="1">#REF!</definedName>
    <definedName name="__APW_RESTORE_DATA7555__" hidden="1">#REF!</definedName>
    <definedName name="__APW_RESTORE_DATA7556__" hidden="1">#REF!</definedName>
    <definedName name="__APW_RESTORE_DATA7557__" hidden="1">#REF!</definedName>
    <definedName name="__APW_RESTORE_DATA7558__" hidden="1">#REF!</definedName>
    <definedName name="__APW_RESTORE_DATA7559__" hidden="1">#REF!</definedName>
    <definedName name="__APW_RESTORE_DATA756__" hidden="1">#REF!</definedName>
    <definedName name="__APW_RESTORE_DATA7560__" hidden="1">#REF!</definedName>
    <definedName name="__APW_RESTORE_DATA7561__" hidden="1">#REF!</definedName>
    <definedName name="__APW_RESTORE_DATA7562__" hidden="1">#REF!</definedName>
    <definedName name="__APW_RESTORE_DATA7563__" hidden="1">#REF!</definedName>
    <definedName name="__APW_RESTORE_DATA7564__" hidden="1">#REF!</definedName>
    <definedName name="__APW_RESTORE_DATA7565__" hidden="1">#REF!</definedName>
    <definedName name="__APW_RESTORE_DATA7566__" hidden="1">#REF!</definedName>
    <definedName name="__APW_RESTORE_DATA7567__" hidden="1">#REF!</definedName>
    <definedName name="__APW_RESTORE_DATA7568__" hidden="1">#REF!</definedName>
    <definedName name="__APW_RESTORE_DATA7569__" hidden="1">#REF!</definedName>
    <definedName name="__APW_RESTORE_DATA757__" hidden="1">#REF!</definedName>
    <definedName name="__APW_RESTORE_DATA7570__" hidden="1">#REF!</definedName>
    <definedName name="__APW_RESTORE_DATA7571__" hidden="1">#REF!</definedName>
    <definedName name="__APW_RESTORE_DATA7572__" hidden="1">#REF!</definedName>
    <definedName name="__APW_RESTORE_DATA7573__" hidden="1">#REF!</definedName>
    <definedName name="__APW_RESTORE_DATA7574__" hidden="1">#REF!</definedName>
    <definedName name="__APW_RESTORE_DATA7575__" hidden="1">#REF!</definedName>
    <definedName name="__APW_RESTORE_DATA7576__" hidden="1">#REF!</definedName>
    <definedName name="__APW_RESTORE_DATA7577__" hidden="1">#REF!</definedName>
    <definedName name="__APW_RESTORE_DATA7578__" hidden="1">#REF!</definedName>
    <definedName name="__APW_RESTORE_DATA7579__" hidden="1">#REF!</definedName>
    <definedName name="__APW_RESTORE_DATA758__" hidden="1">#REF!</definedName>
    <definedName name="__APW_RESTORE_DATA7580__" hidden="1">#REF!</definedName>
    <definedName name="__APW_RESTORE_DATA7581__" hidden="1">#REF!</definedName>
    <definedName name="__APW_RESTORE_DATA7582__" hidden="1">#REF!</definedName>
    <definedName name="__APW_RESTORE_DATA7583__" hidden="1">#REF!</definedName>
    <definedName name="__APW_RESTORE_DATA7584__" hidden="1">#REF!</definedName>
    <definedName name="__APW_RESTORE_DATA7585__" hidden="1">#REF!</definedName>
    <definedName name="__APW_RESTORE_DATA7586__" hidden="1">#REF!</definedName>
    <definedName name="__APW_RESTORE_DATA7587__" hidden="1">#REF!</definedName>
    <definedName name="__APW_RESTORE_DATA7588__" hidden="1">#REF!</definedName>
    <definedName name="__APW_RESTORE_DATA7589__" hidden="1">#REF!</definedName>
    <definedName name="__APW_RESTORE_DATA759__" hidden="1">#REF!</definedName>
    <definedName name="__APW_RESTORE_DATA7590__" hidden="1">#REF!</definedName>
    <definedName name="__APW_RESTORE_DATA7591__" hidden="1">#REF!</definedName>
    <definedName name="__APW_RESTORE_DATA7592__" hidden="1">#REF!</definedName>
    <definedName name="__APW_RESTORE_DATA7593__" hidden="1">#REF!</definedName>
    <definedName name="__APW_RESTORE_DATA7594__" hidden="1">#REF!</definedName>
    <definedName name="__APW_RESTORE_DATA7595__" hidden="1">#REF!</definedName>
    <definedName name="__APW_RESTORE_DATA7596__" hidden="1">#REF!</definedName>
    <definedName name="__APW_RESTORE_DATA7597__" hidden="1">#REF!</definedName>
    <definedName name="__APW_RESTORE_DATA7598__" hidden="1">#REF!</definedName>
    <definedName name="__APW_RESTORE_DATA7599__" hidden="1">#REF!</definedName>
    <definedName name="__APW_RESTORE_DATA76__" hidden="1">#REF!</definedName>
    <definedName name="__APW_RESTORE_DATA760__" hidden="1">#REF!</definedName>
    <definedName name="__APW_RESTORE_DATA7600__" hidden="1">#REF!</definedName>
    <definedName name="__APW_RESTORE_DATA7601__" hidden="1">#REF!</definedName>
    <definedName name="__APW_RESTORE_DATA7602__" hidden="1">#REF!</definedName>
    <definedName name="__APW_RESTORE_DATA7603__" hidden="1">#REF!</definedName>
    <definedName name="__APW_RESTORE_DATA7604__" hidden="1">#REF!</definedName>
    <definedName name="__APW_RESTORE_DATA7605__" hidden="1">#REF!</definedName>
    <definedName name="__APW_RESTORE_DATA7606__" hidden="1">#REF!</definedName>
    <definedName name="__APW_RESTORE_DATA7607__" hidden="1">#REF!</definedName>
    <definedName name="__APW_RESTORE_DATA7608__" hidden="1">#REF!</definedName>
    <definedName name="__APW_RESTORE_DATA7609__" hidden="1">#REF!</definedName>
    <definedName name="__APW_RESTORE_DATA761__" hidden="1">#REF!</definedName>
    <definedName name="__APW_RESTORE_DATA7610__" hidden="1">#REF!</definedName>
    <definedName name="__APW_RESTORE_DATA7611__" hidden="1">#REF!</definedName>
    <definedName name="__APW_RESTORE_DATA7612__" hidden="1">#REF!</definedName>
    <definedName name="__APW_RESTORE_DATA7613__" hidden="1">#REF!</definedName>
    <definedName name="__APW_RESTORE_DATA7614__" hidden="1">#REF!</definedName>
    <definedName name="__APW_RESTORE_DATA7615__" hidden="1">#REF!</definedName>
    <definedName name="__APW_RESTORE_DATA7616__" hidden="1">#REF!</definedName>
    <definedName name="__APW_RESTORE_DATA7617__" hidden="1">#REF!</definedName>
    <definedName name="__APW_RESTORE_DATA7618__" hidden="1">#REF!</definedName>
    <definedName name="__APW_RESTORE_DATA7619__" hidden="1">#REF!</definedName>
    <definedName name="__APW_RESTORE_DATA762__" hidden="1">#REF!</definedName>
    <definedName name="__APW_RESTORE_DATA7620__" hidden="1">#REF!</definedName>
    <definedName name="__APW_RESTORE_DATA7621__" hidden="1">#REF!</definedName>
    <definedName name="__APW_RESTORE_DATA7622__" hidden="1">#REF!</definedName>
    <definedName name="__APW_RESTORE_DATA7623__" hidden="1">#REF!</definedName>
    <definedName name="__APW_RESTORE_DATA7624__" hidden="1">#REF!</definedName>
    <definedName name="__APW_RESTORE_DATA7625__" hidden="1">#REF!</definedName>
    <definedName name="__APW_RESTORE_DATA7626__" hidden="1">#REF!</definedName>
    <definedName name="__APW_RESTORE_DATA7627__" hidden="1">#REF!</definedName>
    <definedName name="__APW_RESTORE_DATA7628__" hidden="1">#REF!</definedName>
    <definedName name="__APW_RESTORE_DATA7629__" hidden="1">#REF!</definedName>
    <definedName name="__APW_RESTORE_DATA763__" hidden="1">#REF!</definedName>
    <definedName name="__APW_RESTORE_DATA7630__" hidden="1">#REF!</definedName>
    <definedName name="__APW_RESTORE_DATA7631__" hidden="1">#REF!</definedName>
    <definedName name="__APW_RESTORE_DATA7632__" hidden="1">#REF!</definedName>
    <definedName name="__APW_RESTORE_DATA7633__" hidden="1">#REF!</definedName>
    <definedName name="__APW_RESTORE_DATA7634__" hidden="1">#REF!</definedName>
    <definedName name="__APW_RESTORE_DATA7635__" hidden="1">#REF!</definedName>
    <definedName name="__APW_RESTORE_DATA7636__" hidden="1">#REF!</definedName>
    <definedName name="__APW_RESTORE_DATA7637__" hidden="1">#REF!</definedName>
    <definedName name="__APW_RESTORE_DATA7638__" hidden="1">#REF!</definedName>
    <definedName name="__APW_RESTORE_DATA7639__" hidden="1">#REF!</definedName>
    <definedName name="__APW_RESTORE_DATA764__" hidden="1">#REF!</definedName>
    <definedName name="__APW_RESTORE_DATA7640__" hidden="1">#REF!</definedName>
    <definedName name="__APW_RESTORE_DATA7641__" hidden="1">#REF!</definedName>
    <definedName name="__APW_RESTORE_DATA7642__" hidden="1">#REF!</definedName>
    <definedName name="__APW_RESTORE_DATA7643__" hidden="1">#REF!</definedName>
    <definedName name="__APW_RESTORE_DATA7644__" hidden="1">#REF!</definedName>
    <definedName name="__APW_RESTORE_DATA7645__" hidden="1">#REF!</definedName>
    <definedName name="__APW_RESTORE_DATA7646__" hidden="1">#REF!</definedName>
    <definedName name="__APW_RESTORE_DATA7647__" hidden="1">#REF!</definedName>
    <definedName name="__APW_RESTORE_DATA7648__" hidden="1">#REF!</definedName>
    <definedName name="__APW_RESTORE_DATA7649__" hidden="1">#REF!</definedName>
    <definedName name="__APW_RESTORE_DATA765__" hidden="1">#REF!</definedName>
    <definedName name="__APW_RESTORE_DATA7650__" hidden="1">#REF!</definedName>
    <definedName name="__APW_RESTORE_DATA7651__" hidden="1">#REF!</definedName>
    <definedName name="__APW_RESTORE_DATA7652__" hidden="1">#REF!</definedName>
    <definedName name="__APW_RESTORE_DATA7653__" hidden="1">#REF!</definedName>
    <definedName name="__APW_RESTORE_DATA7654__" hidden="1">#REF!</definedName>
    <definedName name="__APW_RESTORE_DATA7655__" hidden="1">#REF!</definedName>
    <definedName name="__APW_RESTORE_DATA7656__" hidden="1">#REF!</definedName>
    <definedName name="__APW_RESTORE_DATA7657__" hidden="1">#REF!</definedName>
    <definedName name="__APW_RESTORE_DATA7658__" hidden="1">#REF!</definedName>
    <definedName name="__APW_RESTORE_DATA7659__" hidden="1">#REF!</definedName>
    <definedName name="__APW_RESTORE_DATA766__" hidden="1">#REF!</definedName>
    <definedName name="__APW_RESTORE_DATA7660__" hidden="1">#REF!</definedName>
    <definedName name="__APW_RESTORE_DATA7661__" hidden="1">#REF!</definedName>
    <definedName name="__APW_RESTORE_DATA7662__" hidden="1">#REF!</definedName>
    <definedName name="__APW_RESTORE_DATA7663__" hidden="1">#REF!</definedName>
    <definedName name="__APW_RESTORE_DATA7664__" hidden="1">#REF!</definedName>
    <definedName name="__APW_RESTORE_DATA7665__" hidden="1">#REF!</definedName>
    <definedName name="__APW_RESTORE_DATA7666__" hidden="1">#REF!</definedName>
    <definedName name="__APW_RESTORE_DATA7667__" hidden="1">#REF!</definedName>
    <definedName name="__APW_RESTORE_DATA7668__" hidden="1">#REF!</definedName>
    <definedName name="__APW_RESTORE_DATA7669__" hidden="1">#REF!</definedName>
    <definedName name="__APW_RESTORE_DATA767__" hidden="1">#REF!</definedName>
    <definedName name="__APW_RESTORE_DATA7670__" hidden="1">#REF!</definedName>
    <definedName name="__APW_RESTORE_DATA7671__" hidden="1">#REF!</definedName>
    <definedName name="__APW_RESTORE_DATA7672__" hidden="1">#REF!</definedName>
    <definedName name="__APW_RESTORE_DATA7673__" hidden="1">#REF!</definedName>
    <definedName name="__APW_RESTORE_DATA7674__" hidden="1">#REF!</definedName>
    <definedName name="__APW_RESTORE_DATA7675__" hidden="1">#REF!</definedName>
    <definedName name="__APW_RESTORE_DATA7676__" hidden="1">#REF!</definedName>
    <definedName name="__APW_RESTORE_DATA7677__" hidden="1">#REF!</definedName>
    <definedName name="__APW_RESTORE_DATA7678__" hidden="1">#REF!</definedName>
    <definedName name="__APW_RESTORE_DATA7679__" hidden="1">#REF!</definedName>
    <definedName name="__APW_RESTORE_DATA768__" hidden="1">#REF!</definedName>
    <definedName name="__APW_RESTORE_DATA7680__" hidden="1">#REF!</definedName>
    <definedName name="__APW_RESTORE_DATA7681__" hidden="1">#REF!</definedName>
    <definedName name="__APW_RESTORE_DATA7682__" hidden="1">#REF!</definedName>
    <definedName name="__APW_RESTORE_DATA7683__" hidden="1">#REF!</definedName>
    <definedName name="__APW_RESTORE_DATA7684__" hidden="1">#REF!</definedName>
    <definedName name="__APW_RESTORE_DATA7685__" hidden="1">#REF!</definedName>
    <definedName name="__APW_RESTORE_DATA7686__" hidden="1">#REF!</definedName>
    <definedName name="__APW_RESTORE_DATA7687__" hidden="1">#REF!</definedName>
    <definedName name="__APW_RESTORE_DATA7688__" hidden="1">#REF!</definedName>
    <definedName name="__APW_RESTORE_DATA7689__" hidden="1">#REF!</definedName>
    <definedName name="__APW_RESTORE_DATA769__" hidden="1">#REF!</definedName>
    <definedName name="__APW_RESTORE_DATA7690__" hidden="1">#REF!</definedName>
    <definedName name="__APW_RESTORE_DATA7691__" hidden="1">#REF!</definedName>
    <definedName name="__APW_RESTORE_DATA7692__" hidden="1">#REF!</definedName>
    <definedName name="__APW_RESTORE_DATA7693__" hidden="1">#REF!</definedName>
    <definedName name="__APW_RESTORE_DATA7694__" hidden="1">#REF!</definedName>
    <definedName name="__APW_RESTORE_DATA7695__" hidden="1">#REF!</definedName>
    <definedName name="__APW_RESTORE_DATA7696__" hidden="1">#REF!</definedName>
    <definedName name="__APW_RESTORE_DATA7697__" hidden="1">#REF!</definedName>
    <definedName name="__APW_RESTORE_DATA7698__" hidden="1">#REF!</definedName>
    <definedName name="__APW_RESTORE_DATA7699__" hidden="1">#REF!</definedName>
    <definedName name="__APW_RESTORE_DATA77__" hidden="1">#REF!</definedName>
    <definedName name="__APW_RESTORE_DATA770__" hidden="1">#REF!</definedName>
    <definedName name="__APW_RESTORE_DATA7700__" hidden="1">#REF!</definedName>
    <definedName name="__APW_RESTORE_DATA7701__" hidden="1">#REF!</definedName>
    <definedName name="__APW_RESTORE_DATA7702__" hidden="1">#REF!</definedName>
    <definedName name="__APW_RESTORE_DATA7703__" hidden="1">#REF!</definedName>
    <definedName name="__APW_RESTORE_DATA7704__" hidden="1">#REF!</definedName>
    <definedName name="__APW_RESTORE_DATA7705__" hidden="1">#REF!</definedName>
    <definedName name="__APW_RESTORE_DATA7706__" hidden="1">#REF!</definedName>
    <definedName name="__APW_RESTORE_DATA7707__" hidden="1">#REF!</definedName>
    <definedName name="__APW_RESTORE_DATA7708__" hidden="1">#REF!</definedName>
    <definedName name="__APW_RESTORE_DATA7709__" hidden="1">#REF!</definedName>
    <definedName name="__APW_RESTORE_DATA771__" hidden="1">#REF!</definedName>
    <definedName name="__APW_RESTORE_DATA7710__" hidden="1">#REF!</definedName>
    <definedName name="__APW_RESTORE_DATA7711__" hidden="1">#REF!</definedName>
    <definedName name="__APW_RESTORE_DATA7712__" hidden="1">#REF!</definedName>
    <definedName name="__APW_RESTORE_DATA7713__" hidden="1">#REF!</definedName>
    <definedName name="__APW_RESTORE_DATA7714__" hidden="1">#REF!</definedName>
    <definedName name="__APW_RESTORE_DATA7715__" hidden="1">#REF!</definedName>
    <definedName name="__APW_RESTORE_DATA7716__" hidden="1">#REF!</definedName>
    <definedName name="__APW_RESTORE_DATA7717__" hidden="1">#REF!</definedName>
    <definedName name="__APW_RESTORE_DATA7718__" hidden="1">#REF!</definedName>
    <definedName name="__APW_RESTORE_DATA7719__" hidden="1">#REF!</definedName>
    <definedName name="__APW_RESTORE_DATA772__" hidden="1">#REF!</definedName>
    <definedName name="__APW_RESTORE_DATA7720__" hidden="1">#REF!</definedName>
    <definedName name="__APW_RESTORE_DATA7721__" hidden="1">#REF!</definedName>
    <definedName name="__APW_RESTORE_DATA7722__" hidden="1">#REF!</definedName>
    <definedName name="__APW_RESTORE_DATA7723__" hidden="1">#REF!</definedName>
    <definedName name="__APW_RESTORE_DATA7724__" hidden="1">#REF!</definedName>
    <definedName name="__APW_RESTORE_DATA7725__" hidden="1">#REF!</definedName>
    <definedName name="__APW_RESTORE_DATA7726__" hidden="1">#REF!</definedName>
    <definedName name="__APW_RESTORE_DATA7727__" hidden="1">#REF!</definedName>
    <definedName name="__APW_RESTORE_DATA7728__" hidden="1">#REF!</definedName>
    <definedName name="__APW_RESTORE_DATA7729__" hidden="1">#REF!</definedName>
    <definedName name="__APW_RESTORE_DATA773__" hidden="1">#REF!</definedName>
    <definedName name="__APW_RESTORE_DATA7730__" hidden="1">#REF!</definedName>
    <definedName name="__APW_RESTORE_DATA7731__" hidden="1">#REF!</definedName>
    <definedName name="__APW_RESTORE_DATA7732__" hidden="1">#REF!</definedName>
    <definedName name="__APW_RESTORE_DATA7733__" hidden="1">#REF!</definedName>
    <definedName name="__APW_RESTORE_DATA7734__" hidden="1">#REF!</definedName>
    <definedName name="__APW_RESTORE_DATA7735__" hidden="1">#REF!</definedName>
    <definedName name="__APW_RESTORE_DATA7736__" hidden="1">#REF!</definedName>
    <definedName name="__APW_RESTORE_DATA7737__" hidden="1">#REF!</definedName>
    <definedName name="__APW_RESTORE_DATA7738__" hidden="1">#REF!</definedName>
    <definedName name="__APW_RESTORE_DATA7739__" hidden="1">#REF!</definedName>
    <definedName name="__APW_RESTORE_DATA774__" hidden="1">#REF!</definedName>
    <definedName name="__APW_RESTORE_DATA7740__" hidden="1">#REF!</definedName>
    <definedName name="__APW_RESTORE_DATA7741__" hidden="1">#REF!</definedName>
    <definedName name="__APW_RESTORE_DATA7742__" hidden="1">#REF!</definedName>
    <definedName name="__APW_RESTORE_DATA7743__" hidden="1">#REF!</definedName>
    <definedName name="__APW_RESTORE_DATA7744__" hidden="1">#REF!</definedName>
    <definedName name="__APW_RESTORE_DATA7745__" hidden="1">#REF!</definedName>
    <definedName name="__APW_RESTORE_DATA7746__" hidden="1">#REF!</definedName>
    <definedName name="__APW_RESTORE_DATA7747__" hidden="1">#REF!</definedName>
    <definedName name="__APW_RESTORE_DATA7748__" hidden="1">#REF!</definedName>
    <definedName name="__APW_RESTORE_DATA7749__" hidden="1">#REF!</definedName>
    <definedName name="__APW_RESTORE_DATA775__" hidden="1">#REF!</definedName>
    <definedName name="__APW_RESTORE_DATA7750__" hidden="1">#REF!</definedName>
    <definedName name="__APW_RESTORE_DATA7751__" hidden="1">#REF!</definedName>
    <definedName name="__APW_RESTORE_DATA7752__" hidden="1">#REF!</definedName>
    <definedName name="__APW_RESTORE_DATA7753__" hidden="1">#REF!</definedName>
    <definedName name="__APW_RESTORE_DATA7754__" hidden="1">#REF!</definedName>
    <definedName name="__APW_RESTORE_DATA7755__" hidden="1">#REF!</definedName>
    <definedName name="__APW_RESTORE_DATA7756__" hidden="1">#REF!</definedName>
    <definedName name="__APW_RESTORE_DATA7757__" hidden="1">#REF!</definedName>
    <definedName name="__APW_RESTORE_DATA7758__" hidden="1">#REF!</definedName>
    <definedName name="__APW_RESTORE_DATA7759__" hidden="1">#REF!</definedName>
    <definedName name="__APW_RESTORE_DATA776__" hidden="1">#REF!</definedName>
    <definedName name="__APW_RESTORE_DATA7760__" hidden="1">#REF!</definedName>
    <definedName name="__APW_RESTORE_DATA7761__" hidden="1">#REF!</definedName>
    <definedName name="__APW_RESTORE_DATA7762__" hidden="1">#REF!</definedName>
    <definedName name="__APW_RESTORE_DATA7763__" hidden="1">#REF!</definedName>
    <definedName name="__APW_RESTORE_DATA7764__" hidden="1">#REF!</definedName>
    <definedName name="__APW_RESTORE_DATA7765__" hidden="1">#REF!</definedName>
    <definedName name="__APW_RESTORE_DATA7766__" hidden="1">#REF!</definedName>
    <definedName name="__APW_RESTORE_DATA7767__" hidden="1">#REF!</definedName>
    <definedName name="__APW_RESTORE_DATA7768__" hidden="1">#REF!</definedName>
    <definedName name="__APW_RESTORE_DATA7769__" hidden="1">#REF!</definedName>
    <definedName name="__APW_RESTORE_DATA777__" hidden="1">#REF!</definedName>
    <definedName name="__APW_RESTORE_DATA7770__" hidden="1">#REF!</definedName>
    <definedName name="__APW_RESTORE_DATA7771__" hidden="1">#REF!</definedName>
    <definedName name="__APW_RESTORE_DATA7772__" hidden="1">#REF!</definedName>
    <definedName name="__APW_RESTORE_DATA7773__" hidden="1">#REF!</definedName>
    <definedName name="__APW_RESTORE_DATA7774__" hidden="1">#REF!</definedName>
    <definedName name="__APW_RESTORE_DATA7775__" hidden="1">#REF!</definedName>
    <definedName name="__APW_RESTORE_DATA7776__" hidden="1">#REF!</definedName>
    <definedName name="__APW_RESTORE_DATA7777__" hidden="1">#REF!</definedName>
    <definedName name="__APW_RESTORE_DATA7778__" hidden="1">#REF!</definedName>
    <definedName name="__APW_RESTORE_DATA7779__" hidden="1">#REF!</definedName>
    <definedName name="__APW_RESTORE_DATA778__" hidden="1">#REF!</definedName>
    <definedName name="__APW_RESTORE_DATA7780__" hidden="1">#REF!</definedName>
    <definedName name="__APW_RESTORE_DATA7781__" hidden="1">#REF!</definedName>
    <definedName name="__APW_RESTORE_DATA7782__" hidden="1">#REF!</definedName>
    <definedName name="__APW_RESTORE_DATA7783__" hidden="1">#REF!</definedName>
    <definedName name="__APW_RESTORE_DATA7784__" hidden="1">#REF!</definedName>
    <definedName name="__APW_RESTORE_DATA7785__" hidden="1">#REF!</definedName>
    <definedName name="__APW_RESTORE_DATA7786__" hidden="1">#REF!</definedName>
    <definedName name="__APW_RESTORE_DATA7787__" hidden="1">#REF!</definedName>
    <definedName name="__APW_RESTORE_DATA7788__" hidden="1">#REF!</definedName>
    <definedName name="__APW_RESTORE_DATA7789__" hidden="1">#REF!</definedName>
    <definedName name="__APW_RESTORE_DATA779__" hidden="1">#REF!</definedName>
    <definedName name="__APW_RESTORE_DATA7790__" hidden="1">#REF!</definedName>
    <definedName name="__APW_RESTORE_DATA7791__" hidden="1">#REF!</definedName>
    <definedName name="__APW_RESTORE_DATA7792__" hidden="1">#REF!</definedName>
    <definedName name="__APW_RESTORE_DATA7793__" hidden="1">#REF!</definedName>
    <definedName name="__APW_RESTORE_DATA7794__" hidden="1">#REF!</definedName>
    <definedName name="__APW_RESTORE_DATA7795__" hidden="1">#REF!</definedName>
    <definedName name="__APW_RESTORE_DATA7796__" hidden="1">#REF!</definedName>
    <definedName name="__APW_RESTORE_DATA7797__" hidden="1">#REF!</definedName>
    <definedName name="__APW_RESTORE_DATA7798__" hidden="1">#REF!</definedName>
    <definedName name="__APW_RESTORE_DATA7799__" hidden="1">#REF!</definedName>
    <definedName name="__APW_RESTORE_DATA78__" hidden="1">#REF!</definedName>
    <definedName name="__APW_RESTORE_DATA780__" hidden="1">#REF!</definedName>
    <definedName name="__APW_RESTORE_DATA7800__" hidden="1">#REF!</definedName>
    <definedName name="__APW_RESTORE_DATA7801__" hidden="1">#REF!</definedName>
    <definedName name="__APW_RESTORE_DATA7802__" hidden="1">#REF!</definedName>
    <definedName name="__APW_RESTORE_DATA7803__" hidden="1">#REF!</definedName>
    <definedName name="__APW_RESTORE_DATA7804__" hidden="1">#REF!</definedName>
    <definedName name="__APW_RESTORE_DATA7805__" hidden="1">#REF!</definedName>
    <definedName name="__APW_RESTORE_DATA7806__" hidden="1">#REF!</definedName>
    <definedName name="__APW_RESTORE_DATA7807__" hidden="1">#REF!</definedName>
    <definedName name="__APW_RESTORE_DATA7808__" hidden="1">#REF!</definedName>
    <definedName name="__APW_RESTORE_DATA7809__" hidden="1">#REF!</definedName>
    <definedName name="__APW_RESTORE_DATA781__" hidden="1">#REF!</definedName>
    <definedName name="__APW_RESTORE_DATA7810__" hidden="1">#REF!</definedName>
    <definedName name="__APW_RESTORE_DATA7811__" hidden="1">#REF!</definedName>
    <definedName name="__APW_RESTORE_DATA7812__" hidden="1">#REF!</definedName>
    <definedName name="__APW_RESTORE_DATA7813__" hidden="1">#REF!</definedName>
    <definedName name="__APW_RESTORE_DATA7814__" hidden="1">#REF!</definedName>
    <definedName name="__APW_RESTORE_DATA7815__" hidden="1">#REF!</definedName>
    <definedName name="__APW_RESTORE_DATA7816__" hidden="1">#REF!</definedName>
    <definedName name="__APW_RESTORE_DATA7817__" hidden="1">#REF!</definedName>
    <definedName name="__APW_RESTORE_DATA7818__" hidden="1">#REF!</definedName>
    <definedName name="__APW_RESTORE_DATA7819__" hidden="1">#REF!</definedName>
    <definedName name="__APW_RESTORE_DATA782__" hidden="1">#REF!</definedName>
    <definedName name="__APW_RESTORE_DATA7820__" hidden="1">#REF!</definedName>
    <definedName name="__APW_RESTORE_DATA7821__" hidden="1">#REF!</definedName>
    <definedName name="__APW_RESTORE_DATA7822__" hidden="1">#REF!</definedName>
    <definedName name="__APW_RESTORE_DATA7823__" hidden="1">#REF!</definedName>
    <definedName name="__APW_RESTORE_DATA7824__" hidden="1">#REF!</definedName>
    <definedName name="__APW_RESTORE_DATA7825__" hidden="1">#REF!</definedName>
    <definedName name="__APW_RESTORE_DATA7826__" hidden="1">#REF!</definedName>
    <definedName name="__APW_RESTORE_DATA7827__" hidden="1">#REF!</definedName>
    <definedName name="__APW_RESTORE_DATA7828__" hidden="1">#REF!</definedName>
    <definedName name="__APW_RESTORE_DATA7829__" hidden="1">#REF!</definedName>
    <definedName name="__APW_RESTORE_DATA783__" hidden="1">#REF!</definedName>
    <definedName name="__APW_RESTORE_DATA7830__" hidden="1">#REF!</definedName>
    <definedName name="__APW_RESTORE_DATA7831__" hidden="1">#REF!</definedName>
    <definedName name="__APW_RESTORE_DATA7832__" hidden="1">#REF!</definedName>
    <definedName name="__APW_RESTORE_DATA7833__" hidden="1">#REF!</definedName>
    <definedName name="__APW_RESTORE_DATA7834__" hidden="1">#REF!</definedName>
    <definedName name="__APW_RESTORE_DATA7835__" hidden="1">#REF!</definedName>
    <definedName name="__APW_RESTORE_DATA7836__" hidden="1">#REF!</definedName>
    <definedName name="__APW_RESTORE_DATA7837__" hidden="1">#REF!</definedName>
    <definedName name="__APW_RESTORE_DATA7838__" hidden="1">#REF!</definedName>
    <definedName name="__APW_RESTORE_DATA7839__" hidden="1">#REF!</definedName>
    <definedName name="__APW_RESTORE_DATA784__" hidden="1">#REF!</definedName>
    <definedName name="__APW_RESTORE_DATA7840__" hidden="1">#REF!</definedName>
    <definedName name="__APW_RESTORE_DATA7841__" hidden="1">#REF!</definedName>
    <definedName name="__APW_RESTORE_DATA7842__" hidden="1">#REF!</definedName>
    <definedName name="__APW_RESTORE_DATA7843__" hidden="1">#REF!</definedName>
    <definedName name="__APW_RESTORE_DATA7844__" hidden="1">#REF!</definedName>
    <definedName name="__APW_RESTORE_DATA7845__" hidden="1">#REF!</definedName>
    <definedName name="__APW_RESTORE_DATA7846__" hidden="1">#REF!</definedName>
    <definedName name="__APW_RESTORE_DATA7847__" hidden="1">#REF!</definedName>
    <definedName name="__APW_RESTORE_DATA7848__" hidden="1">#REF!</definedName>
    <definedName name="__APW_RESTORE_DATA7849__" hidden="1">#REF!</definedName>
    <definedName name="__APW_RESTORE_DATA785__" hidden="1">#REF!</definedName>
    <definedName name="__APW_RESTORE_DATA7850__" hidden="1">#REF!</definedName>
    <definedName name="__APW_RESTORE_DATA7851__" hidden="1">#REF!</definedName>
    <definedName name="__APW_RESTORE_DATA7852__" hidden="1">#REF!</definedName>
    <definedName name="__APW_RESTORE_DATA7853__" hidden="1">#REF!</definedName>
    <definedName name="__APW_RESTORE_DATA7854__" hidden="1">#REF!</definedName>
    <definedName name="__APW_RESTORE_DATA7855__" hidden="1">#REF!</definedName>
    <definedName name="__APW_RESTORE_DATA7856__" hidden="1">#REF!</definedName>
    <definedName name="__APW_RESTORE_DATA7857__" hidden="1">#REF!</definedName>
    <definedName name="__APW_RESTORE_DATA7858__" hidden="1">#REF!</definedName>
    <definedName name="__APW_RESTORE_DATA7859__" hidden="1">#REF!</definedName>
    <definedName name="__APW_RESTORE_DATA786__" hidden="1">#REF!</definedName>
    <definedName name="__APW_RESTORE_DATA7860__" hidden="1">#REF!</definedName>
    <definedName name="__APW_RESTORE_DATA7861__" hidden="1">#REF!</definedName>
    <definedName name="__APW_RESTORE_DATA7862__" hidden="1">#REF!</definedName>
    <definedName name="__APW_RESTORE_DATA7863__" hidden="1">#REF!</definedName>
    <definedName name="__APW_RESTORE_DATA7864__" hidden="1">#REF!</definedName>
    <definedName name="__APW_RESTORE_DATA7865__" hidden="1">#REF!</definedName>
    <definedName name="__APW_RESTORE_DATA7866__" hidden="1">#REF!</definedName>
    <definedName name="__APW_RESTORE_DATA7867__" hidden="1">#REF!</definedName>
    <definedName name="__APW_RESTORE_DATA7868__" hidden="1">#REF!</definedName>
    <definedName name="__APW_RESTORE_DATA7869__" hidden="1">#REF!</definedName>
    <definedName name="__APW_RESTORE_DATA787__" hidden="1">#REF!</definedName>
    <definedName name="__APW_RESTORE_DATA7870__" hidden="1">#REF!</definedName>
    <definedName name="__APW_RESTORE_DATA7871__" hidden="1">#REF!</definedName>
    <definedName name="__APW_RESTORE_DATA7872__" hidden="1">#REF!</definedName>
    <definedName name="__APW_RESTORE_DATA7873__" hidden="1">#REF!</definedName>
    <definedName name="__APW_RESTORE_DATA7874__" hidden="1">#REF!</definedName>
    <definedName name="__APW_RESTORE_DATA7875__" hidden="1">#REF!</definedName>
    <definedName name="__APW_RESTORE_DATA7876__" hidden="1">#REF!</definedName>
    <definedName name="__APW_RESTORE_DATA7877__" hidden="1">#REF!</definedName>
    <definedName name="__APW_RESTORE_DATA7878__" hidden="1">#REF!</definedName>
    <definedName name="__APW_RESTORE_DATA7879__" hidden="1">#REF!</definedName>
    <definedName name="__APW_RESTORE_DATA788__" hidden="1">#REF!</definedName>
    <definedName name="__APW_RESTORE_DATA7880__" hidden="1">#REF!</definedName>
    <definedName name="__APW_RESTORE_DATA7881__" hidden="1">#REF!</definedName>
    <definedName name="__APW_RESTORE_DATA7882__" hidden="1">#REF!</definedName>
    <definedName name="__APW_RESTORE_DATA7883__" hidden="1">#REF!</definedName>
    <definedName name="__APW_RESTORE_DATA7884__" hidden="1">#REF!</definedName>
    <definedName name="__APW_RESTORE_DATA7885__" hidden="1">#REF!</definedName>
    <definedName name="__APW_RESTORE_DATA7886__" hidden="1">#REF!</definedName>
    <definedName name="__APW_RESTORE_DATA7887__" hidden="1">#REF!</definedName>
    <definedName name="__APW_RESTORE_DATA7888__" hidden="1">#REF!</definedName>
    <definedName name="__APW_RESTORE_DATA7889__" hidden="1">#REF!</definedName>
    <definedName name="__APW_RESTORE_DATA789__" hidden="1">#REF!</definedName>
    <definedName name="__APW_RESTORE_DATA7890__" hidden="1">#REF!</definedName>
    <definedName name="__APW_RESTORE_DATA7891__" hidden="1">#REF!</definedName>
    <definedName name="__APW_RESTORE_DATA7892__" hidden="1">#REF!</definedName>
    <definedName name="__APW_RESTORE_DATA7893__" hidden="1">#REF!</definedName>
    <definedName name="__APW_RESTORE_DATA7894__" hidden="1">#REF!</definedName>
    <definedName name="__APW_RESTORE_DATA7895__" hidden="1">#REF!</definedName>
    <definedName name="__APW_RESTORE_DATA7896__" hidden="1">#REF!</definedName>
    <definedName name="__APW_RESTORE_DATA7897__" hidden="1">#REF!</definedName>
    <definedName name="__APW_RESTORE_DATA7898__" hidden="1">#REF!</definedName>
    <definedName name="__APW_RESTORE_DATA7899__" hidden="1">#REF!</definedName>
    <definedName name="__APW_RESTORE_DATA79__" hidden="1">#REF!</definedName>
    <definedName name="__APW_RESTORE_DATA790__" hidden="1">#REF!</definedName>
    <definedName name="__APW_RESTORE_DATA7900__" hidden="1">#REF!</definedName>
    <definedName name="__APW_RESTORE_DATA7901__" hidden="1">#REF!</definedName>
    <definedName name="__APW_RESTORE_DATA7902__" hidden="1">#REF!</definedName>
    <definedName name="__APW_RESTORE_DATA7903__" hidden="1">#REF!</definedName>
    <definedName name="__APW_RESTORE_DATA7904__" hidden="1">#REF!</definedName>
    <definedName name="__APW_RESTORE_DATA7905__" hidden="1">#REF!</definedName>
    <definedName name="__APW_RESTORE_DATA7906__" hidden="1">#REF!</definedName>
    <definedName name="__APW_RESTORE_DATA7907__" hidden="1">#REF!</definedName>
    <definedName name="__APW_RESTORE_DATA7908__" hidden="1">#REF!</definedName>
    <definedName name="__APW_RESTORE_DATA7909__" hidden="1">#REF!</definedName>
    <definedName name="__APW_RESTORE_DATA791__" hidden="1">#REF!</definedName>
    <definedName name="__APW_RESTORE_DATA7910__" hidden="1">#REF!</definedName>
    <definedName name="__APW_RESTORE_DATA7911__" hidden="1">#REF!</definedName>
    <definedName name="__APW_RESTORE_DATA7912__" hidden="1">#REF!</definedName>
    <definedName name="__APW_RESTORE_DATA7913__" hidden="1">#REF!</definedName>
    <definedName name="__APW_RESTORE_DATA7914__" hidden="1">#REF!</definedName>
    <definedName name="__APW_RESTORE_DATA7915__" hidden="1">#REF!</definedName>
    <definedName name="__APW_RESTORE_DATA7916__" hidden="1">#REF!</definedName>
    <definedName name="__APW_RESTORE_DATA7917__" hidden="1">#REF!</definedName>
    <definedName name="__APW_RESTORE_DATA7918__" hidden="1">#REF!</definedName>
    <definedName name="__APW_RESTORE_DATA7919__" hidden="1">#REF!</definedName>
    <definedName name="__APW_RESTORE_DATA792__" hidden="1">#REF!</definedName>
    <definedName name="__APW_RESTORE_DATA7920__" hidden="1">#REF!</definedName>
    <definedName name="__APW_RESTORE_DATA7921__" hidden="1">#REF!</definedName>
    <definedName name="__APW_RESTORE_DATA7922__" hidden="1">#REF!</definedName>
    <definedName name="__APW_RESTORE_DATA7923__" hidden="1">#REF!</definedName>
    <definedName name="__APW_RESTORE_DATA7924__" hidden="1">#REF!</definedName>
    <definedName name="__APW_RESTORE_DATA7925__" hidden="1">#REF!</definedName>
    <definedName name="__APW_RESTORE_DATA7926__" hidden="1">#REF!</definedName>
    <definedName name="__APW_RESTORE_DATA7927__" hidden="1">#REF!</definedName>
    <definedName name="__APW_RESTORE_DATA7928__" hidden="1">#REF!</definedName>
    <definedName name="__APW_RESTORE_DATA7929__" hidden="1">#REF!</definedName>
    <definedName name="__APW_RESTORE_DATA793__" hidden="1">#REF!</definedName>
    <definedName name="__APW_RESTORE_DATA7930__" hidden="1">#REF!</definedName>
    <definedName name="__APW_RESTORE_DATA7931__" hidden="1">#REF!</definedName>
    <definedName name="__APW_RESTORE_DATA7932__" hidden="1">#REF!</definedName>
    <definedName name="__APW_RESTORE_DATA7933__" hidden="1">#REF!</definedName>
    <definedName name="__APW_RESTORE_DATA7934__" hidden="1">#REF!</definedName>
    <definedName name="__APW_RESTORE_DATA7935__" hidden="1">#REF!</definedName>
    <definedName name="__APW_RESTORE_DATA7936__" hidden="1">#REF!</definedName>
    <definedName name="__APW_RESTORE_DATA7937__" hidden="1">#REF!</definedName>
    <definedName name="__APW_RESTORE_DATA7938__" hidden="1">#REF!</definedName>
    <definedName name="__APW_RESTORE_DATA7939__" hidden="1">#REF!</definedName>
    <definedName name="__APW_RESTORE_DATA794__" hidden="1">#REF!</definedName>
    <definedName name="__APW_RESTORE_DATA7940__" hidden="1">#REF!</definedName>
    <definedName name="__APW_RESTORE_DATA7941__" hidden="1">#REF!</definedName>
    <definedName name="__APW_RESTORE_DATA7942__" hidden="1">#REF!</definedName>
    <definedName name="__APW_RESTORE_DATA7943__" hidden="1">#REF!</definedName>
    <definedName name="__APW_RESTORE_DATA7944__" hidden="1">#REF!</definedName>
    <definedName name="__APW_RESTORE_DATA7945__" hidden="1">#REF!</definedName>
    <definedName name="__APW_RESTORE_DATA7946__" hidden="1">#REF!</definedName>
    <definedName name="__APW_RESTORE_DATA7947__" hidden="1">#REF!</definedName>
    <definedName name="__APW_RESTORE_DATA7948__" hidden="1">#REF!</definedName>
    <definedName name="__APW_RESTORE_DATA7949__" hidden="1">#REF!</definedName>
    <definedName name="__APW_RESTORE_DATA795__" hidden="1">#REF!</definedName>
    <definedName name="__APW_RESTORE_DATA7950__" hidden="1">#REF!</definedName>
    <definedName name="__APW_RESTORE_DATA7951__" hidden="1">#REF!</definedName>
    <definedName name="__APW_RESTORE_DATA7952__" hidden="1">#REF!</definedName>
    <definedName name="__APW_RESTORE_DATA7953__" hidden="1">#REF!</definedName>
    <definedName name="__APW_RESTORE_DATA7954__" hidden="1">#REF!</definedName>
    <definedName name="__APW_RESTORE_DATA7955__" hidden="1">#REF!</definedName>
    <definedName name="__APW_RESTORE_DATA7956__" hidden="1">#REF!</definedName>
    <definedName name="__APW_RESTORE_DATA7957__" hidden="1">#REF!</definedName>
    <definedName name="__APW_RESTORE_DATA7958__" hidden="1">#REF!</definedName>
    <definedName name="__APW_RESTORE_DATA7959__" hidden="1">#REF!</definedName>
    <definedName name="__APW_RESTORE_DATA796__" hidden="1">#REF!</definedName>
    <definedName name="__APW_RESTORE_DATA7960__" hidden="1">#REF!</definedName>
    <definedName name="__APW_RESTORE_DATA7961__" hidden="1">#REF!</definedName>
    <definedName name="__APW_RESTORE_DATA7962__" hidden="1">#REF!</definedName>
    <definedName name="__APW_RESTORE_DATA7963__" hidden="1">#REF!</definedName>
    <definedName name="__APW_RESTORE_DATA7964__" hidden="1">#REF!</definedName>
    <definedName name="__APW_RESTORE_DATA7965__" hidden="1">#REF!</definedName>
    <definedName name="__APW_RESTORE_DATA7966__" hidden="1">#REF!</definedName>
    <definedName name="__APW_RESTORE_DATA7967__" hidden="1">#REF!</definedName>
    <definedName name="__APW_RESTORE_DATA7968__" hidden="1">#REF!</definedName>
    <definedName name="__APW_RESTORE_DATA7969__" hidden="1">#REF!</definedName>
    <definedName name="__APW_RESTORE_DATA797__" hidden="1">#REF!</definedName>
    <definedName name="__APW_RESTORE_DATA7970__" hidden="1">#REF!</definedName>
    <definedName name="__APW_RESTORE_DATA7971__" hidden="1">#REF!</definedName>
    <definedName name="__APW_RESTORE_DATA7972__" hidden="1">#REF!</definedName>
    <definedName name="__APW_RESTORE_DATA7973__" hidden="1">#REF!</definedName>
    <definedName name="__APW_RESTORE_DATA7974__" hidden="1">#REF!</definedName>
    <definedName name="__APW_RESTORE_DATA7975__" hidden="1">#REF!</definedName>
    <definedName name="__APW_RESTORE_DATA7976__" hidden="1">#REF!</definedName>
    <definedName name="__APW_RESTORE_DATA7977__" hidden="1">#REF!</definedName>
    <definedName name="__APW_RESTORE_DATA7978__" hidden="1">#REF!</definedName>
    <definedName name="__APW_RESTORE_DATA7979__" hidden="1">#REF!</definedName>
    <definedName name="__APW_RESTORE_DATA798__" hidden="1">#REF!</definedName>
    <definedName name="__APW_RESTORE_DATA7980__" hidden="1">#REF!</definedName>
    <definedName name="__APW_RESTORE_DATA7981__" hidden="1">#REF!</definedName>
    <definedName name="__APW_RESTORE_DATA7982__" hidden="1">#REF!</definedName>
    <definedName name="__APW_RESTORE_DATA7983__" hidden="1">#REF!</definedName>
    <definedName name="__APW_RESTORE_DATA7984__" hidden="1">#REF!</definedName>
    <definedName name="__APW_RESTORE_DATA7985__" hidden="1">#REF!</definedName>
    <definedName name="__APW_RESTORE_DATA7986__" hidden="1">#REF!</definedName>
    <definedName name="__APW_RESTORE_DATA7987__" hidden="1">#REF!</definedName>
    <definedName name="__APW_RESTORE_DATA7988__" hidden="1">#REF!</definedName>
    <definedName name="__APW_RESTORE_DATA7989__" hidden="1">#REF!</definedName>
    <definedName name="__APW_RESTORE_DATA799__" hidden="1">#REF!</definedName>
    <definedName name="__APW_RESTORE_DATA7990__" hidden="1">#REF!</definedName>
    <definedName name="__APW_RESTORE_DATA7991__" hidden="1">#REF!</definedName>
    <definedName name="__APW_RESTORE_DATA7992__" hidden="1">#REF!</definedName>
    <definedName name="__APW_RESTORE_DATA7993__" hidden="1">#REF!</definedName>
    <definedName name="__APW_RESTORE_DATA7994__" hidden="1">#REF!</definedName>
    <definedName name="__APW_RESTORE_DATA7995__" hidden="1">#REF!</definedName>
    <definedName name="__APW_RESTORE_DATA7996__" hidden="1">#REF!</definedName>
    <definedName name="__APW_RESTORE_DATA7997__" hidden="1">#REF!</definedName>
    <definedName name="__APW_RESTORE_DATA7998__" hidden="1">#REF!</definedName>
    <definedName name="__APW_RESTORE_DATA7999__" hidden="1">#REF!</definedName>
    <definedName name="__APW_RESTORE_DATA8__" hidden="1">#REF!</definedName>
    <definedName name="__APW_RESTORE_DATA80__" hidden="1">#REF!</definedName>
    <definedName name="__APW_RESTORE_DATA800__" hidden="1">#REF!</definedName>
    <definedName name="__APW_RESTORE_DATA8000__" hidden="1">#REF!</definedName>
    <definedName name="__APW_RESTORE_DATA8001__" hidden="1">#REF!</definedName>
    <definedName name="__APW_RESTORE_DATA8002__" hidden="1">#REF!</definedName>
    <definedName name="__APW_RESTORE_DATA8003__" hidden="1">#REF!</definedName>
    <definedName name="__APW_RESTORE_DATA8004__" hidden="1">#REF!</definedName>
    <definedName name="__APW_RESTORE_DATA8005__" hidden="1">#REF!</definedName>
    <definedName name="__APW_RESTORE_DATA8006__" hidden="1">#REF!</definedName>
    <definedName name="__APW_RESTORE_DATA8007__" hidden="1">#REF!</definedName>
    <definedName name="__APW_RESTORE_DATA8008__" hidden="1">#REF!</definedName>
    <definedName name="__APW_RESTORE_DATA8009__" hidden="1">#REF!</definedName>
    <definedName name="__APW_RESTORE_DATA801__" hidden="1">#REF!</definedName>
    <definedName name="__APW_RESTORE_DATA8010__" hidden="1">#REF!</definedName>
    <definedName name="__APW_RESTORE_DATA8011__" hidden="1">#REF!</definedName>
    <definedName name="__APW_RESTORE_DATA8012__" hidden="1">#REF!</definedName>
    <definedName name="__APW_RESTORE_DATA8013__" hidden="1">#REF!</definedName>
    <definedName name="__APW_RESTORE_DATA8014__" hidden="1">#REF!</definedName>
    <definedName name="__APW_RESTORE_DATA8015__" hidden="1">#REF!</definedName>
    <definedName name="__APW_RESTORE_DATA8016__" hidden="1">#REF!</definedName>
    <definedName name="__APW_RESTORE_DATA8017__" hidden="1">#REF!</definedName>
    <definedName name="__APW_RESTORE_DATA8018__" hidden="1">#REF!</definedName>
    <definedName name="__APW_RESTORE_DATA8019__" hidden="1">#REF!</definedName>
    <definedName name="__APW_RESTORE_DATA802__" hidden="1">#REF!</definedName>
    <definedName name="__APW_RESTORE_DATA8020__" hidden="1">#REF!</definedName>
    <definedName name="__APW_RESTORE_DATA8021__" hidden="1">#REF!</definedName>
    <definedName name="__APW_RESTORE_DATA8022__" hidden="1">#REF!</definedName>
    <definedName name="__APW_RESTORE_DATA8023__" hidden="1">#REF!</definedName>
    <definedName name="__APW_RESTORE_DATA8024__" hidden="1">#REF!</definedName>
    <definedName name="__APW_RESTORE_DATA8025__" hidden="1">#REF!</definedName>
    <definedName name="__APW_RESTORE_DATA8026__" hidden="1">#REF!</definedName>
    <definedName name="__APW_RESTORE_DATA8027__" hidden="1">#REF!</definedName>
    <definedName name="__APW_RESTORE_DATA8028__" hidden="1">#REF!</definedName>
    <definedName name="__APW_RESTORE_DATA8029__" hidden="1">#REF!</definedName>
    <definedName name="__APW_RESTORE_DATA803__" hidden="1">#REF!</definedName>
    <definedName name="__APW_RESTORE_DATA8030__" hidden="1">#REF!</definedName>
    <definedName name="__APW_RESTORE_DATA8031__" hidden="1">#REF!</definedName>
    <definedName name="__APW_RESTORE_DATA8032__" hidden="1">#REF!</definedName>
    <definedName name="__APW_RESTORE_DATA8033__" hidden="1">#REF!</definedName>
    <definedName name="__APW_RESTORE_DATA8034__" hidden="1">#REF!</definedName>
    <definedName name="__APW_RESTORE_DATA8035__" hidden="1">#REF!</definedName>
    <definedName name="__APW_RESTORE_DATA8036__" hidden="1">#REF!</definedName>
    <definedName name="__APW_RESTORE_DATA8037__" hidden="1">#REF!</definedName>
    <definedName name="__APW_RESTORE_DATA8038__" hidden="1">#REF!</definedName>
    <definedName name="__APW_RESTORE_DATA8039__" hidden="1">#REF!</definedName>
    <definedName name="__APW_RESTORE_DATA804__" hidden="1">#REF!</definedName>
    <definedName name="__APW_RESTORE_DATA8040__" hidden="1">#REF!</definedName>
    <definedName name="__APW_RESTORE_DATA8041__" hidden="1">#REF!</definedName>
    <definedName name="__APW_RESTORE_DATA8042__" hidden="1">#REF!</definedName>
    <definedName name="__APW_RESTORE_DATA8043__" hidden="1">#REF!</definedName>
    <definedName name="__APW_RESTORE_DATA8044__" hidden="1">#REF!</definedName>
    <definedName name="__APW_RESTORE_DATA8045__" hidden="1">#REF!</definedName>
    <definedName name="__APW_RESTORE_DATA8046__" hidden="1">#REF!</definedName>
    <definedName name="__APW_RESTORE_DATA8047__" hidden="1">#REF!</definedName>
    <definedName name="__APW_RESTORE_DATA8048__" hidden="1">#REF!</definedName>
    <definedName name="__APW_RESTORE_DATA8049__" hidden="1">#REF!</definedName>
    <definedName name="__APW_RESTORE_DATA805__" hidden="1">#REF!</definedName>
    <definedName name="__APW_RESTORE_DATA8050__" hidden="1">#REF!</definedName>
    <definedName name="__APW_RESTORE_DATA8051__" hidden="1">#REF!</definedName>
    <definedName name="__APW_RESTORE_DATA8052__" hidden="1">#REF!</definedName>
    <definedName name="__APW_RESTORE_DATA8053__" hidden="1">#REF!</definedName>
    <definedName name="__APW_RESTORE_DATA8054__" hidden="1">#REF!</definedName>
    <definedName name="__APW_RESTORE_DATA8055__" hidden="1">#REF!</definedName>
    <definedName name="__APW_RESTORE_DATA8056__" hidden="1">#REF!</definedName>
    <definedName name="__APW_RESTORE_DATA8057__" hidden="1">#REF!</definedName>
    <definedName name="__APW_RESTORE_DATA8058__" hidden="1">#REF!</definedName>
    <definedName name="__APW_RESTORE_DATA8059__" hidden="1">#REF!</definedName>
    <definedName name="__APW_RESTORE_DATA806__" hidden="1">#REF!</definedName>
    <definedName name="__APW_RESTORE_DATA8060__" hidden="1">#REF!</definedName>
    <definedName name="__APW_RESTORE_DATA8061__" hidden="1">#REF!</definedName>
    <definedName name="__APW_RESTORE_DATA8062__" hidden="1">#REF!</definedName>
    <definedName name="__APW_RESTORE_DATA8063__" hidden="1">#REF!</definedName>
    <definedName name="__APW_RESTORE_DATA8064__" hidden="1">#REF!</definedName>
    <definedName name="__APW_RESTORE_DATA8065__" hidden="1">#REF!</definedName>
    <definedName name="__APW_RESTORE_DATA8066__" hidden="1">#REF!</definedName>
    <definedName name="__APW_RESTORE_DATA8067__" hidden="1">#REF!</definedName>
    <definedName name="__APW_RESTORE_DATA8068__" hidden="1">#REF!</definedName>
    <definedName name="__APW_RESTORE_DATA8069__" hidden="1">#REF!</definedName>
    <definedName name="__APW_RESTORE_DATA807__" hidden="1">#REF!</definedName>
    <definedName name="__APW_RESTORE_DATA8070__" hidden="1">#REF!</definedName>
    <definedName name="__APW_RESTORE_DATA8071__" hidden="1">#REF!</definedName>
    <definedName name="__APW_RESTORE_DATA8072__" hidden="1">#REF!</definedName>
    <definedName name="__APW_RESTORE_DATA8073__" hidden="1">#REF!</definedName>
    <definedName name="__APW_RESTORE_DATA8074__" hidden="1">#REF!</definedName>
    <definedName name="__APW_RESTORE_DATA8075__" hidden="1">#REF!</definedName>
    <definedName name="__APW_RESTORE_DATA8076__" hidden="1">#REF!</definedName>
    <definedName name="__APW_RESTORE_DATA8077__" hidden="1">#REF!</definedName>
    <definedName name="__APW_RESTORE_DATA8078__" hidden="1">#REF!</definedName>
    <definedName name="__APW_RESTORE_DATA8079__" hidden="1">#REF!</definedName>
    <definedName name="__APW_RESTORE_DATA808__" hidden="1">#REF!</definedName>
    <definedName name="__APW_RESTORE_DATA8080__" hidden="1">#REF!</definedName>
    <definedName name="__APW_RESTORE_DATA8081__" hidden="1">#REF!</definedName>
    <definedName name="__APW_RESTORE_DATA8082__" hidden="1">#REF!</definedName>
    <definedName name="__APW_RESTORE_DATA8083__" hidden="1">#REF!</definedName>
    <definedName name="__APW_RESTORE_DATA8084__" hidden="1">#REF!</definedName>
    <definedName name="__APW_RESTORE_DATA8085__" hidden="1">#REF!</definedName>
    <definedName name="__APW_RESTORE_DATA8086__" hidden="1">#REF!</definedName>
    <definedName name="__APW_RESTORE_DATA8087__" hidden="1">#REF!</definedName>
    <definedName name="__APW_RESTORE_DATA8088__" hidden="1">#REF!</definedName>
    <definedName name="__APW_RESTORE_DATA8089__" hidden="1">#REF!</definedName>
    <definedName name="__APW_RESTORE_DATA809__" hidden="1">#REF!</definedName>
    <definedName name="__APW_RESTORE_DATA8090__" hidden="1">#REF!</definedName>
    <definedName name="__APW_RESTORE_DATA8091__" hidden="1">#REF!</definedName>
    <definedName name="__APW_RESTORE_DATA8092__" hidden="1">#REF!</definedName>
    <definedName name="__APW_RESTORE_DATA8093__" hidden="1">#REF!</definedName>
    <definedName name="__APW_RESTORE_DATA8094__" hidden="1">#REF!</definedName>
    <definedName name="__APW_RESTORE_DATA8095__" hidden="1">#REF!</definedName>
    <definedName name="__APW_RESTORE_DATA8096__" hidden="1">#REF!</definedName>
    <definedName name="__APW_RESTORE_DATA8097__" hidden="1">#REF!</definedName>
    <definedName name="__APW_RESTORE_DATA8098__" hidden="1">#REF!</definedName>
    <definedName name="__APW_RESTORE_DATA8099__" hidden="1">#REF!</definedName>
    <definedName name="__APW_RESTORE_DATA81__" hidden="1">#REF!</definedName>
    <definedName name="__APW_RESTORE_DATA810__" hidden="1">#REF!</definedName>
    <definedName name="__APW_RESTORE_DATA8100__" hidden="1">#REF!</definedName>
    <definedName name="__APW_RESTORE_DATA8101__" hidden="1">#REF!</definedName>
    <definedName name="__APW_RESTORE_DATA8102__" hidden="1">#REF!</definedName>
    <definedName name="__APW_RESTORE_DATA8103__" hidden="1">#REF!</definedName>
    <definedName name="__APW_RESTORE_DATA8104__" hidden="1">#REF!</definedName>
    <definedName name="__APW_RESTORE_DATA8105__" hidden="1">#REF!</definedName>
    <definedName name="__APW_RESTORE_DATA8106__" hidden="1">#REF!</definedName>
    <definedName name="__APW_RESTORE_DATA8107__" hidden="1">#REF!</definedName>
    <definedName name="__APW_RESTORE_DATA8108__" hidden="1">#REF!</definedName>
    <definedName name="__APW_RESTORE_DATA8109__" hidden="1">#REF!</definedName>
    <definedName name="__APW_RESTORE_DATA811__" hidden="1">#REF!</definedName>
    <definedName name="__APW_RESTORE_DATA8110__" hidden="1">#REF!</definedName>
    <definedName name="__APW_RESTORE_DATA8111__" hidden="1">#REF!</definedName>
    <definedName name="__APW_RESTORE_DATA8112__" hidden="1">#REF!</definedName>
    <definedName name="__APW_RESTORE_DATA8113__" hidden="1">#REF!</definedName>
    <definedName name="__APW_RESTORE_DATA8114__" hidden="1">#REF!</definedName>
    <definedName name="__APW_RESTORE_DATA8115__" hidden="1">#REF!</definedName>
    <definedName name="__APW_RESTORE_DATA8116__" hidden="1">#REF!</definedName>
    <definedName name="__APW_RESTORE_DATA8117__" hidden="1">#REF!</definedName>
    <definedName name="__APW_RESTORE_DATA8118__" hidden="1">#REF!</definedName>
    <definedName name="__APW_RESTORE_DATA8119__" hidden="1">#REF!</definedName>
    <definedName name="__APW_RESTORE_DATA812__" hidden="1">#REF!</definedName>
    <definedName name="__APW_RESTORE_DATA8120__" hidden="1">#REF!</definedName>
    <definedName name="__APW_RESTORE_DATA8121__" hidden="1">#REF!</definedName>
    <definedName name="__APW_RESTORE_DATA8122__" hidden="1">#REF!</definedName>
    <definedName name="__APW_RESTORE_DATA8123__" hidden="1">#REF!</definedName>
    <definedName name="__APW_RESTORE_DATA8124__" hidden="1">#REF!</definedName>
    <definedName name="__APW_RESTORE_DATA8125__" hidden="1">#REF!</definedName>
    <definedName name="__APW_RESTORE_DATA8126__" hidden="1">#REF!</definedName>
    <definedName name="__APW_RESTORE_DATA8127__" hidden="1">#REF!</definedName>
    <definedName name="__APW_RESTORE_DATA8128__" hidden="1">#REF!</definedName>
    <definedName name="__APW_RESTORE_DATA8129__" hidden="1">#REF!</definedName>
    <definedName name="__APW_RESTORE_DATA813__" hidden="1">#REF!</definedName>
    <definedName name="__APW_RESTORE_DATA8130__" hidden="1">#REF!</definedName>
    <definedName name="__APW_RESTORE_DATA8131__" hidden="1">#REF!</definedName>
    <definedName name="__APW_RESTORE_DATA8132__" hidden="1">#REF!</definedName>
    <definedName name="__APW_RESTORE_DATA8133__" hidden="1">#REF!</definedName>
    <definedName name="__APW_RESTORE_DATA8134__" hidden="1">#REF!</definedName>
    <definedName name="__APW_RESTORE_DATA8135__" hidden="1">#REF!</definedName>
    <definedName name="__APW_RESTORE_DATA8136__" hidden="1">#REF!</definedName>
    <definedName name="__APW_RESTORE_DATA8137__" hidden="1">#REF!</definedName>
    <definedName name="__APW_RESTORE_DATA8138__" hidden="1">#REF!</definedName>
    <definedName name="__APW_RESTORE_DATA8139__" hidden="1">#REF!</definedName>
    <definedName name="__APW_RESTORE_DATA814__" hidden="1">#REF!</definedName>
    <definedName name="__APW_RESTORE_DATA8140__" hidden="1">#REF!</definedName>
    <definedName name="__APW_RESTORE_DATA8141__" hidden="1">#REF!</definedName>
    <definedName name="__APW_RESTORE_DATA8142__" hidden="1">#REF!</definedName>
    <definedName name="__APW_RESTORE_DATA8143__" hidden="1">#REF!</definedName>
    <definedName name="__APW_RESTORE_DATA8144__" hidden="1">#REF!</definedName>
    <definedName name="__APW_RESTORE_DATA8145__" hidden="1">#REF!</definedName>
    <definedName name="__APW_RESTORE_DATA8146__" hidden="1">#REF!</definedName>
    <definedName name="__APW_RESTORE_DATA8147__" hidden="1">#REF!</definedName>
    <definedName name="__APW_RESTORE_DATA8148__" hidden="1">#REF!</definedName>
    <definedName name="__APW_RESTORE_DATA8149__" hidden="1">#REF!</definedName>
    <definedName name="__APW_RESTORE_DATA815__" hidden="1">#REF!</definedName>
    <definedName name="__APW_RESTORE_DATA8150__" hidden="1">#REF!</definedName>
    <definedName name="__APW_RESTORE_DATA8151__" hidden="1">#REF!</definedName>
    <definedName name="__APW_RESTORE_DATA8152__" hidden="1">#REF!</definedName>
    <definedName name="__APW_RESTORE_DATA8153__" hidden="1">#REF!</definedName>
    <definedName name="__APW_RESTORE_DATA8154__" hidden="1">#REF!</definedName>
    <definedName name="__APW_RESTORE_DATA8155__" hidden="1">#REF!</definedName>
    <definedName name="__APW_RESTORE_DATA8156__" hidden="1">#REF!</definedName>
    <definedName name="__APW_RESTORE_DATA8157__" hidden="1">#REF!</definedName>
    <definedName name="__APW_RESTORE_DATA8158__" hidden="1">#REF!</definedName>
    <definedName name="__APW_RESTORE_DATA8159__" hidden="1">#REF!</definedName>
    <definedName name="__APW_RESTORE_DATA816__" hidden="1">#REF!</definedName>
    <definedName name="__APW_RESTORE_DATA8160__" hidden="1">#REF!</definedName>
    <definedName name="__APW_RESTORE_DATA8161__" hidden="1">#REF!</definedName>
    <definedName name="__APW_RESTORE_DATA8162__" hidden="1">#REF!</definedName>
    <definedName name="__APW_RESTORE_DATA8163__" hidden="1">#REF!</definedName>
    <definedName name="__APW_RESTORE_DATA8164__" hidden="1">#REF!</definedName>
    <definedName name="__APW_RESTORE_DATA8165__" hidden="1">#REF!</definedName>
    <definedName name="__APW_RESTORE_DATA8166__" hidden="1">#REF!</definedName>
    <definedName name="__APW_RESTORE_DATA8167__" hidden="1">#REF!</definedName>
    <definedName name="__APW_RESTORE_DATA8168__" hidden="1">#REF!</definedName>
    <definedName name="__APW_RESTORE_DATA8169__" hidden="1">#REF!</definedName>
    <definedName name="__APW_RESTORE_DATA817__" hidden="1">#REF!</definedName>
    <definedName name="__APW_RESTORE_DATA8170__" hidden="1">#REF!</definedName>
    <definedName name="__APW_RESTORE_DATA8171__" hidden="1">#REF!</definedName>
    <definedName name="__APW_RESTORE_DATA8172__" hidden="1">#REF!</definedName>
    <definedName name="__APW_RESTORE_DATA8173__" hidden="1">#REF!</definedName>
    <definedName name="__APW_RESTORE_DATA8174__" hidden="1">#REF!</definedName>
    <definedName name="__APW_RESTORE_DATA8175__" hidden="1">#REF!</definedName>
    <definedName name="__APW_RESTORE_DATA8176__" hidden="1">#REF!</definedName>
    <definedName name="__APW_RESTORE_DATA8177__" hidden="1">#REF!</definedName>
    <definedName name="__APW_RESTORE_DATA8178__" hidden="1">#REF!</definedName>
    <definedName name="__APW_RESTORE_DATA8179__" hidden="1">#REF!</definedName>
    <definedName name="__APW_RESTORE_DATA818__" hidden="1">#REF!</definedName>
    <definedName name="__APW_RESTORE_DATA8180__" hidden="1">#REF!</definedName>
    <definedName name="__APW_RESTORE_DATA8181__" hidden="1">#REF!</definedName>
    <definedName name="__APW_RESTORE_DATA8182__" hidden="1">#REF!</definedName>
    <definedName name="__APW_RESTORE_DATA8183__" hidden="1">#REF!</definedName>
    <definedName name="__APW_RESTORE_DATA8184__" hidden="1">#REF!</definedName>
    <definedName name="__APW_RESTORE_DATA8185__" hidden="1">#REF!</definedName>
    <definedName name="__APW_RESTORE_DATA8186__" hidden="1">#REF!</definedName>
    <definedName name="__APW_RESTORE_DATA8187__" hidden="1">#REF!</definedName>
    <definedName name="__APW_RESTORE_DATA8188__" hidden="1">#REF!</definedName>
    <definedName name="__APW_RESTORE_DATA8189__" hidden="1">#REF!</definedName>
    <definedName name="__APW_RESTORE_DATA819__" hidden="1">#REF!</definedName>
    <definedName name="__APW_RESTORE_DATA8190__" hidden="1">#REF!</definedName>
    <definedName name="__APW_RESTORE_DATA8191__" hidden="1">#REF!</definedName>
    <definedName name="__APW_RESTORE_DATA8192__" hidden="1">#REF!</definedName>
    <definedName name="__APW_RESTORE_DATA8193__" hidden="1">#REF!</definedName>
    <definedName name="__APW_RESTORE_DATA8194__" hidden="1">#REF!</definedName>
    <definedName name="__APW_RESTORE_DATA8195__" hidden="1">#REF!</definedName>
    <definedName name="__APW_RESTORE_DATA8196__" hidden="1">#REF!</definedName>
    <definedName name="__APW_RESTORE_DATA8197__" hidden="1">#REF!</definedName>
    <definedName name="__APW_RESTORE_DATA8198__" hidden="1">#REF!</definedName>
    <definedName name="__APW_RESTORE_DATA8199__" hidden="1">#REF!</definedName>
    <definedName name="__APW_RESTORE_DATA82__" hidden="1">#REF!</definedName>
    <definedName name="__APW_RESTORE_DATA820__" hidden="1">#REF!</definedName>
    <definedName name="__APW_RESTORE_DATA8200__" hidden="1">#REF!</definedName>
    <definedName name="__APW_RESTORE_DATA8201__" hidden="1">#REF!</definedName>
    <definedName name="__APW_RESTORE_DATA8202__" hidden="1">#REF!</definedName>
    <definedName name="__APW_RESTORE_DATA8203__" hidden="1">#REF!</definedName>
    <definedName name="__APW_RESTORE_DATA8204__" hidden="1">#REF!</definedName>
    <definedName name="__APW_RESTORE_DATA8205__" hidden="1">#REF!</definedName>
    <definedName name="__APW_RESTORE_DATA8206__" hidden="1">#REF!</definedName>
    <definedName name="__APW_RESTORE_DATA8207__" hidden="1">#REF!</definedName>
    <definedName name="__APW_RESTORE_DATA8208__" hidden="1">#REF!</definedName>
    <definedName name="__APW_RESTORE_DATA8209__" hidden="1">#REF!</definedName>
    <definedName name="__APW_RESTORE_DATA821__" hidden="1">#REF!</definedName>
    <definedName name="__APW_RESTORE_DATA8210__" hidden="1">#REF!</definedName>
    <definedName name="__APW_RESTORE_DATA8211__" hidden="1">#REF!</definedName>
    <definedName name="__APW_RESTORE_DATA8212__" hidden="1">#REF!</definedName>
    <definedName name="__APW_RESTORE_DATA8213__" hidden="1">#REF!</definedName>
    <definedName name="__APW_RESTORE_DATA8214__" hidden="1">#REF!</definedName>
    <definedName name="__APW_RESTORE_DATA8215__" hidden="1">#REF!</definedName>
    <definedName name="__APW_RESTORE_DATA8216__" hidden="1">#REF!</definedName>
    <definedName name="__APW_RESTORE_DATA8217__" hidden="1">#REF!</definedName>
    <definedName name="__APW_RESTORE_DATA8218__" hidden="1">#REF!</definedName>
    <definedName name="__APW_RESTORE_DATA8219__" hidden="1">#REF!</definedName>
    <definedName name="__APW_RESTORE_DATA822__" hidden="1">#REF!</definedName>
    <definedName name="__APW_RESTORE_DATA8220__" hidden="1">#REF!</definedName>
    <definedName name="__APW_RESTORE_DATA8221__" hidden="1">#REF!</definedName>
    <definedName name="__APW_RESTORE_DATA8222__" hidden="1">#REF!</definedName>
    <definedName name="__APW_RESTORE_DATA8223__" hidden="1">#REF!</definedName>
    <definedName name="__APW_RESTORE_DATA8224__" hidden="1">#REF!</definedName>
    <definedName name="__APW_RESTORE_DATA8225__" hidden="1">#REF!</definedName>
    <definedName name="__APW_RESTORE_DATA8226__" hidden="1">#REF!</definedName>
    <definedName name="__APW_RESTORE_DATA8227__" hidden="1">#REF!</definedName>
    <definedName name="__APW_RESTORE_DATA8228__" hidden="1">#REF!</definedName>
    <definedName name="__APW_RESTORE_DATA8229__" hidden="1">#REF!</definedName>
    <definedName name="__APW_RESTORE_DATA823__" hidden="1">#REF!</definedName>
    <definedName name="__APW_RESTORE_DATA8230__" hidden="1">#REF!</definedName>
    <definedName name="__APW_RESTORE_DATA8231__" hidden="1">#REF!</definedName>
    <definedName name="__APW_RESTORE_DATA8232__" hidden="1">#REF!</definedName>
    <definedName name="__APW_RESTORE_DATA8233__" hidden="1">#REF!</definedName>
    <definedName name="__APW_RESTORE_DATA8234__" hidden="1">#REF!</definedName>
    <definedName name="__APW_RESTORE_DATA8235__" hidden="1">#REF!</definedName>
    <definedName name="__APW_RESTORE_DATA8236__" hidden="1">#REF!</definedName>
    <definedName name="__APW_RESTORE_DATA8237__" hidden="1">#REF!</definedName>
    <definedName name="__APW_RESTORE_DATA8238__" hidden="1">#REF!</definedName>
    <definedName name="__APW_RESTORE_DATA8239__" hidden="1">#REF!</definedName>
    <definedName name="__APW_RESTORE_DATA824__" hidden="1">#REF!</definedName>
    <definedName name="__APW_RESTORE_DATA8240__" hidden="1">#REF!</definedName>
    <definedName name="__APW_RESTORE_DATA8241__" hidden="1">#REF!</definedName>
    <definedName name="__APW_RESTORE_DATA8242__" hidden="1">#REF!</definedName>
    <definedName name="__APW_RESTORE_DATA8243__" hidden="1">#REF!</definedName>
    <definedName name="__APW_RESTORE_DATA8244__" hidden="1">#REF!</definedName>
    <definedName name="__APW_RESTORE_DATA8245__" hidden="1">#REF!</definedName>
    <definedName name="__APW_RESTORE_DATA8246__" hidden="1">#REF!</definedName>
    <definedName name="__APW_RESTORE_DATA8247__" hidden="1">#REF!</definedName>
    <definedName name="__APW_RESTORE_DATA8248__" hidden="1">#REF!</definedName>
    <definedName name="__APW_RESTORE_DATA8249__" hidden="1">#REF!</definedName>
    <definedName name="__APW_RESTORE_DATA825__" hidden="1">#REF!</definedName>
    <definedName name="__APW_RESTORE_DATA8250__" hidden="1">#REF!</definedName>
    <definedName name="__APW_RESTORE_DATA8251__" hidden="1">#REF!</definedName>
    <definedName name="__APW_RESTORE_DATA8252__" hidden="1">#REF!</definedName>
    <definedName name="__APW_RESTORE_DATA8253__" hidden="1">#REF!</definedName>
    <definedName name="__APW_RESTORE_DATA8254__" hidden="1">#REF!</definedName>
    <definedName name="__APW_RESTORE_DATA8255__" hidden="1">#REF!</definedName>
    <definedName name="__APW_RESTORE_DATA8256__" hidden="1">#REF!</definedName>
    <definedName name="__APW_RESTORE_DATA8257__" hidden="1">#REF!</definedName>
    <definedName name="__APW_RESTORE_DATA8258__" hidden="1">#REF!</definedName>
    <definedName name="__APW_RESTORE_DATA8259__" hidden="1">#REF!</definedName>
    <definedName name="__APW_RESTORE_DATA826__" hidden="1">#REF!</definedName>
    <definedName name="__APW_RESTORE_DATA8260__" hidden="1">#REF!</definedName>
    <definedName name="__APW_RESTORE_DATA8261__" hidden="1">#REF!</definedName>
    <definedName name="__APW_RESTORE_DATA8262__" hidden="1">#REF!</definedName>
    <definedName name="__APW_RESTORE_DATA8263__" hidden="1">#REF!</definedName>
    <definedName name="__APW_RESTORE_DATA8264__" hidden="1">#REF!</definedName>
    <definedName name="__APW_RESTORE_DATA8265__" hidden="1">#REF!</definedName>
    <definedName name="__APW_RESTORE_DATA8266__" hidden="1">#REF!</definedName>
    <definedName name="__APW_RESTORE_DATA8267__" hidden="1">#REF!</definedName>
    <definedName name="__APW_RESTORE_DATA8268__" hidden="1">#REF!</definedName>
    <definedName name="__APW_RESTORE_DATA8269__" hidden="1">#REF!</definedName>
    <definedName name="__APW_RESTORE_DATA827__" hidden="1">#REF!</definedName>
    <definedName name="__APW_RESTORE_DATA8270__" hidden="1">#REF!</definedName>
    <definedName name="__APW_RESTORE_DATA8271__" hidden="1">#REF!</definedName>
    <definedName name="__APW_RESTORE_DATA8272__" hidden="1">#REF!</definedName>
    <definedName name="__APW_RESTORE_DATA8273__" hidden="1">#REF!</definedName>
    <definedName name="__APW_RESTORE_DATA8274__" hidden="1">#REF!</definedName>
    <definedName name="__APW_RESTORE_DATA8275__" hidden="1">#REF!</definedName>
    <definedName name="__APW_RESTORE_DATA8276__" hidden="1">#REF!</definedName>
    <definedName name="__APW_RESTORE_DATA8277__" hidden="1">#REF!</definedName>
    <definedName name="__APW_RESTORE_DATA8278__" hidden="1">#REF!</definedName>
    <definedName name="__APW_RESTORE_DATA8279__" hidden="1">#REF!</definedName>
    <definedName name="__APW_RESTORE_DATA828__" hidden="1">#REF!</definedName>
    <definedName name="__APW_RESTORE_DATA8280__" hidden="1">#REF!</definedName>
    <definedName name="__APW_RESTORE_DATA8281__" hidden="1">#REF!</definedName>
    <definedName name="__APW_RESTORE_DATA8282__" hidden="1">#REF!</definedName>
    <definedName name="__APW_RESTORE_DATA8283__" hidden="1">#REF!</definedName>
    <definedName name="__APW_RESTORE_DATA8284__" hidden="1">#REF!</definedName>
    <definedName name="__APW_RESTORE_DATA8285__" hidden="1">#REF!</definedName>
    <definedName name="__APW_RESTORE_DATA8286__" hidden="1">#REF!</definedName>
    <definedName name="__APW_RESTORE_DATA8287__" hidden="1">#REF!</definedName>
    <definedName name="__APW_RESTORE_DATA8288__" hidden="1">#REF!</definedName>
    <definedName name="__APW_RESTORE_DATA8289__" hidden="1">#REF!</definedName>
    <definedName name="__APW_RESTORE_DATA829__" hidden="1">#REF!</definedName>
    <definedName name="__APW_RESTORE_DATA8290__" hidden="1">#REF!</definedName>
    <definedName name="__APW_RESTORE_DATA8291__" hidden="1">#REF!</definedName>
    <definedName name="__APW_RESTORE_DATA8292__" hidden="1">#REF!</definedName>
    <definedName name="__APW_RESTORE_DATA8293__" hidden="1">#REF!</definedName>
    <definedName name="__APW_RESTORE_DATA8294__" hidden="1">#REF!</definedName>
    <definedName name="__APW_RESTORE_DATA8295__" hidden="1">#REF!</definedName>
    <definedName name="__APW_RESTORE_DATA8296__" hidden="1">#REF!</definedName>
    <definedName name="__APW_RESTORE_DATA8297__" hidden="1">#REF!</definedName>
    <definedName name="__APW_RESTORE_DATA8298__" hidden="1">#REF!</definedName>
    <definedName name="__APW_RESTORE_DATA8299__" hidden="1">#REF!</definedName>
    <definedName name="__APW_RESTORE_DATA83__" hidden="1">#REF!</definedName>
    <definedName name="__APW_RESTORE_DATA830__" hidden="1">#REF!</definedName>
    <definedName name="__APW_RESTORE_DATA8300__" hidden="1">#REF!</definedName>
    <definedName name="__APW_RESTORE_DATA8301__" hidden="1">#REF!</definedName>
    <definedName name="__APW_RESTORE_DATA8302__" hidden="1">#REF!</definedName>
    <definedName name="__APW_RESTORE_DATA8303__" hidden="1">#REF!</definedName>
    <definedName name="__APW_RESTORE_DATA8304__" hidden="1">#REF!</definedName>
    <definedName name="__APW_RESTORE_DATA8305__" hidden="1">#REF!</definedName>
    <definedName name="__APW_RESTORE_DATA8306__" hidden="1">#REF!</definedName>
    <definedName name="__APW_RESTORE_DATA8307__" hidden="1">#REF!</definedName>
    <definedName name="__APW_RESTORE_DATA8308__" hidden="1">#REF!</definedName>
    <definedName name="__APW_RESTORE_DATA8309__" hidden="1">#REF!</definedName>
    <definedName name="__APW_RESTORE_DATA831__" hidden="1">#REF!</definedName>
    <definedName name="__APW_RESTORE_DATA8310__" hidden="1">#REF!</definedName>
    <definedName name="__APW_RESTORE_DATA8311__" hidden="1">#REF!</definedName>
    <definedName name="__APW_RESTORE_DATA8312__" hidden="1">#REF!</definedName>
    <definedName name="__APW_RESTORE_DATA8313__" hidden="1">#REF!</definedName>
    <definedName name="__APW_RESTORE_DATA8314__" hidden="1">#REF!</definedName>
    <definedName name="__APW_RESTORE_DATA8315__" hidden="1">#REF!</definedName>
    <definedName name="__APW_RESTORE_DATA8316__" hidden="1">#REF!</definedName>
    <definedName name="__APW_RESTORE_DATA8317__" hidden="1">#REF!</definedName>
    <definedName name="__APW_RESTORE_DATA8318__" hidden="1">#REF!</definedName>
    <definedName name="__APW_RESTORE_DATA8319__" hidden="1">#REF!</definedName>
    <definedName name="__APW_RESTORE_DATA832__" hidden="1">#REF!</definedName>
    <definedName name="__APW_RESTORE_DATA8320__" hidden="1">#REF!</definedName>
    <definedName name="__APW_RESTORE_DATA8321__" hidden="1">#REF!</definedName>
    <definedName name="__APW_RESTORE_DATA8322__" hidden="1">#REF!</definedName>
    <definedName name="__APW_RESTORE_DATA8323__" hidden="1">#REF!</definedName>
    <definedName name="__APW_RESTORE_DATA8324__" hidden="1">#REF!</definedName>
    <definedName name="__APW_RESTORE_DATA8325__" hidden="1">#REF!</definedName>
    <definedName name="__APW_RESTORE_DATA8326__" hidden="1">#REF!</definedName>
    <definedName name="__APW_RESTORE_DATA8327__" hidden="1">#REF!</definedName>
    <definedName name="__APW_RESTORE_DATA8328__" hidden="1">#REF!</definedName>
    <definedName name="__APW_RESTORE_DATA8329__" hidden="1">#REF!</definedName>
    <definedName name="__APW_RESTORE_DATA833__" hidden="1">#REF!</definedName>
    <definedName name="__APW_RESTORE_DATA8330__" hidden="1">#REF!</definedName>
    <definedName name="__APW_RESTORE_DATA8331__" hidden="1">#REF!</definedName>
    <definedName name="__APW_RESTORE_DATA8332__" hidden="1">#REF!</definedName>
    <definedName name="__APW_RESTORE_DATA8333__" hidden="1">#REF!</definedName>
    <definedName name="__APW_RESTORE_DATA8334__" hidden="1">#REF!</definedName>
    <definedName name="__APW_RESTORE_DATA8335__" hidden="1">#REF!</definedName>
    <definedName name="__APW_RESTORE_DATA8336__" hidden="1">#REF!</definedName>
    <definedName name="__APW_RESTORE_DATA8337__" hidden="1">#REF!</definedName>
    <definedName name="__APW_RESTORE_DATA8338__" hidden="1">#REF!</definedName>
    <definedName name="__APW_RESTORE_DATA8339__" hidden="1">#REF!</definedName>
    <definedName name="__APW_RESTORE_DATA834__" hidden="1">#REF!</definedName>
    <definedName name="__APW_RESTORE_DATA8340__" hidden="1">#REF!</definedName>
    <definedName name="__APW_RESTORE_DATA8341__" hidden="1">#REF!</definedName>
    <definedName name="__APW_RESTORE_DATA8342__" hidden="1">#REF!</definedName>
    <definedName name="__APW_RESTORE_DATA8343__" hidden="1">#REF!</definedName>
    <definedName name="__APW_RESTORE_DATA8344__" hidden="1">#REF!</definedName>
    <definedName name="__APW_RESTORE_DATA8345__" hidden="1">#REF!</definedName>
    <definedName name="__APW_RESTORE_DATA8346__" hidden="1">#REF!</definedName>
    <definedName name="__APW_RESTORE_DATA8347__" hidden="1">#REF!</definedName>
    <definedName name="__APW_RESTORE_DATA8348__" hidden="1">#REF!</definedName>
    <definedName name="__APW_RESTORE_DATA8349__" hidden="1">#REF!</definedName>
    <definedName name="__APW_RESTORE_DATA835__" hidden="1">#REF!</definedName>
    <definedName name="__APW_RESTORE_DATA8350__" hidden="1">#REF!</definedName>
    <definedName name="__APW_RESTORE_DATA8351__" hidden="1">#REF!</definedName>
    <definedName name="__APW_RESTORE_DATA8352__" hidden="1">#REF!</definedName>
    <definedName name="__APW_RESTORE_DATA8353__" hidden="1">#REF!</definedName>
    <definedName name="__APW_RESTORE_DATA8354__" hidden="1">#REF!</definedName>
    <definedName name="__APW_RESTORE_DATA8355__" hidden="1">#REF!</definedName>
    <definedName name="__APW_RESTORE_DATA8356__" hidden="1">#REF!</definedName>
    <definedName name="__APW_RESTORE_DATA8357__" hidden="1">#REF!</definedName>
    <definedName name="__APW_RESTORE_DATA8358__" hidden="1">#REF!</definedName>
    <definedName name="__APW_RESTORE_DATA8359__" hidden="1">#REF!</definedName>
    <definedName name="__APW_RESTORE_DATA836__" hidden="1">#REF!</definedName>
    <definedName name="__APW_RESTORE_DATA8360__" hidden="1">#REF!</definedName>
    <definedName name="__APW_RESTORE_DATA8361__" hidden="1">#REF!</definedName>
    <definedName name="__APW_RESTORE_DATA8362__" hidden="1">#REF!</definedName>
    <definedName name="__APW_RESTORE_DATA8363__" hidden="1">#REF!</definedName>
    <definedName name="__APW_RESTORE_DATA8364__" hidden="1">#REF!</definedName>
    <definedName name="__APW_RESTORE_DATA8365__" hidden="1">#REF!</definedName>
    <definedName name="__APW_RESTORE_DATA8366__" hidden="1">#REF!</definedName>
    <definedName name="__APW_RESTORE_DATA8367__" hidden="1">#REF!</definedName>
    <definedName name="__APW_RESTORE_DATA8368__" hidden="1">#REF!</definedName>
    <definedName name="__APW_RESTORE_DATA8369__" hidden="1">#REF!</definedName>
    <definedName name="__APW_RESTORE_DATA837__" hidden="1">#REF!</definedName>
    <definedName name="__APW_RESTORE_DATA8370__" hidden="1">#REF!</definedName>
    <definedName name="__APW_RESTORE_DATA8371__" hidden="1">#REF!</definedName>
    <definedName name="__APW_RESTORE_DATA8372__" hidden="1">#REF!</definedName>
    <definedName name="__APW_RESTORE_DATA8373__" hidden="1">#REF!</definedName>
    <definedName name="__APW_RESTORE_DATA8374__" hidden="1">#REF!</definedName>
    <definedName name="__APW_RESTORE_DATA8375__" hidden="1">#REF!</definedName>
    <definedName name="__APW_RESTORE_DATA8376__" hidden="1">#REF!</definedName>
    <definedName name="__APW_RESTORE_DATA8377__" hidden="1">#REF!</definedName>
    <definedName name="__APW_RESTORE_DATA8378__" hidden="1">#REF!</definedName>
    <definedName name="__APW_RESTORE_DATA8379__" hidden="1">#REF!</definedName>
    <definedName name="__APW_RESTORE_DATA838__" hidden="1">#REF!</definedName>
    <definedName name="__APW_RESTORE_DATA8380__" hidden="1">#REF!</definedName>
    <definedName name="__APW_RESTORE_DATA8381__" hidden="1">#REF!</definedName>
    <definedName name="__APW_RESTORE_DATA8382__" hidden="1">#REF!</definedName>
    <definedName name="__APW_RESTORE_DATA8383__" hidden="1">#REF!</definedName>
    <definedName name="__APW_RESTORE_DATA8384__" hidden="1">#REF!</definedName>
    <definedName name="__APW_RESTORE_DATA8385__" hidden="1">#REF!</definedName>
    <definedName name="__APW_RESTORE_DATA8386__" hidden="1">#REF!</definedName>
    <definedName name="__APW_RESTORE_DATA8387__" hidden="1">#REF!</definedName>
    <definedName name="__APW_RESTORE_DATA8388__" hidden="1">#REF!</definedName>
    <definedName name="__APW_RESTORE_DATA8389__" hidden="1">#REF!</definedName>
    <definedName name="__APW_RESTORE_DATA839__" hidden="1">#REF!</definedName>
    <definedName name="__APW_RESTORE_DATA8390__" hidden="1">#REF!</definedName>
    <definedName name="__APW_RESTORE_DATA8391__" hidden="1">#REF!</definedName>
    <definedName name="__APW_RESTORE_DATA8392__" hidden="1">#REF!</definedName>
    <definedName name="__APW_RESTORE_DATA8393__" hidden="1">#REF!</definedName>
    <definedName name="__APW_RESTORE_DATA8394__" hidden="1">#REF!</definedName>
    <definedName name="__APW_RESTORE_DATA8395__" hidden="1">#REF!</definedName>
    <definedName name="__APW_RESTORE_DATA8396__" hidden="1">#REF!</definedName>
    <definedName name="__APW_RESTORE_DATA8397__" hidden="1">#REF!</definedName>
    <definedName name="__APW_RESTORE_DATA8398__" hidden="1">#REF!</definedName>
    <definedName name="__APW_RESTORE_DATA8399__" hidden="1">#REF!</definedName>
    <definedName name="__APW_RESTORE_DATA84__" hidden="1">#REF!</definedName>
    <definedName name="__APW_RESTORE_DATA840__" hidden="1">#REF!</definedName>
    <definedName name="__APW_RESTORE_DATA8400__" hidden="1">#REF!</definedName>
    <definedName name="__APW_RESTORE_DATA8401__" hidden="1">#REF!</definedName>
    <definedName name="__APW_RESTORE_DATA8402__" hidden="1">#REF!</definedName>
    <definedName name="__APW_RESTORE_DATA8403__" hidden="1">#REF!</definedName>
    <definedName name="__APW_RESTORE_DATA8404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2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7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2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7__" hidden="1">#REF!</definedName>
    <definedName name="__APW_RESTORE_DATA868__" hidden="1">#REF!</definedName>
    <definedName name="__APW_RESTORE_DATA869__" hidden="1">#REF!</definedName>
    <definedName name="__APW_RESTORE_DATA87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3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8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3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8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4__" hidden="1">#REF!</definedName>
    <definedName name="__APW_RESTORE_DATA905__" hidden="1">#REF!</definedName>
    <definedName name="__APW_RESTORE_DATA906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3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8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3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8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4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59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4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69__" hidden="1">#REF!</definedName>
    <definedName name="__APW_RESTORE_DATA97__" hidden="1">#REF!</definedName>
    <definedName name="__APW_RESTORE_DATA970__" hidden="1">#REF!</definedName>
    <definedName name="__APW_RESTORE_DATA971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6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1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6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FDS_HYPERLINK_TOGGLE_STATE__" hidden="1">"ON"</definedName>
    <definedName name="__FDS_UNIQUE_RANGE_ID_GENERATOR_COUNTER" hidden="1">1</definedName>
    <definedName name="__FDS_USED_FOR_REUSING_RANGE_IDS_RECYCLE" hidden="1">{279,84,1}</definedName>
    <definedName name="_1__123Graph_AChart_1A" hidden="1">#REF!</definedName>
    <definedName name="_1__123Graph_ACPI_ER_LOG" hidden="1">#REF!</definedName>
    <definedName name="_10__123Graph_BCHART_2" hidden="1">#REF!</definedName>
    <definedName name="_10__123Graph_CCHART_2" hidden="1">#REF!</definedName>
    <definedName name="_104__123Graph_BWB_ADJ_PRJ" hidden="1">#REF!</definedName>
    <definedName name="_11__123Graph_AWB_ADJ_PRJ" hidden="1">#REF!</definedName>
    <definedName name="_11__123Graph_XCHART_1" hidden="1">#REF!</definedName>
    <definedName name="_12__123Graph_AWB_ADJ_PRJ" hidden="1">#REF!</definedName>
    <definedName name="_12__123Graph_BCHART_1" hidden="1">#REF!</definedName>
    <definedName name="_12__123Graph_CCHART_1" hidden="1">#REF!</definedName>
    <definedName name="_12__123Graph_XChart_1A" hidden="1">#REF!</definedName>
    <definedName name="_12__123Graph_XCHART_2" hidden="1">#REF!</definedName>
    <definedName name="_121__123Graph_XCHART_2" hidden="1">#REF!</definedName>
    <definedName name="_1234graph_b" hidden="1">#REF!</definedName>
    <definedName name="_123graph_bgfs.3" hidden="1">#REF!</definedName>
    <definedName name="_123Graph_BGFS.4" hidden="1">#REF!</definedName>
    <definedName name="_123GRAPH_BTAX1" hidden="1">#REF!</definedName>
    <definedName name="_123GRAPH_C" hidden="1">#REF!</definedName>
    <definedName name="_123GRAPH_CGFS.3" hidden="1">#REF!</definedName>
    <definedName name="_123Graph_CTAX1" hidden="1">#REF!</definedName>
    <definedName name="_123GRAPH_CTAX2" hidden="1">#REF!</definedName>
    <definedName name="_123GRAPH_D" hidden="1">#REF!</definedName>
    <definedName name="_123GRAPH_DTAX1" hidden="1">#REF!</definedName>
    <definedName name="_123Graph_E" hidden="1">#REF!</definedName>
    <definedName name="_123GRAPH_ETAX2" hidden="1">#REF!</definedName>
    <definedName name="_123GRAPH_F" hidden="1">#REF!</definedName>
    <definedName name="_123GRAPH_K" hidden="1">#REF!</definedName>
    <definedName name="_123GRAPH_X" hidden="1">#REF!</definedName>
    <definedName name="_123GRAPH_XGFS.1" hidden="1">#REF!</definedName>
    <definedName name="_123GRAPH_XGFS.3" hidden="1">#REF!</definedName>
    <definedName name="_123gRAPH_XTAX1" hidden="1">#REF!</definedName>
    <definedName name="_123GRAPH_XTAX2" hidden="1">#REF!</definedName>
    <definedName name="_13__123Graph_BCHART_1" hidden="1">#REF!</definedName>
    <definedName name="_13__123Graph_BCHART_2" hidden="1">#REF!</definedName>
    <definedName name="_13__123Graph_CCHART_2" hidden="1">#REF!</definedName>
    <definedName name="_13__123Graph_XChart_2A" hidden="1">#REF!</definedName>
    <definedName name="_14__123Graph_BCHART_2" hidden="1">#REF!</definedName>
    <definedName name="_14__123Graph_BWB_ADJ_PRJ" hidden="1">#REF!</definedName>
    <definedName name="_14__123Graph_XCHART_1" hidden="1">#REF!</definedName>
    <definedName name="_14__123Graph_XChart_3A" hidden="1">#REF!</definedName>
    <definedName name="_15__123Graph_CCHART_1" hidden="1">#REF!</definedName>
    <definedName name="_15__123Graph_XCHART_2" hidden="1">#REF!</definedName>
    <definedName name="_15__123Graph_XChart_4A" hidden="1">#REF!</definedName>
    <definedName name="_16__123Graph_CCHART_2" hidden="1">#REF!</definedName>
    <definedName name="_17__123Graph_XCHART_1" hidden="1">#REF!</definedName>
    <definedName name="_18__123Graph_XCHART_2" hidden="1">#REF!</definedName>
    <definedName name="_2__123Graph_AChart_2A" hidden="1">#REF!</definedName>
    <definedName name="_2__123Graph_AIBA_IBRD" hidden="1">#REF!</definedName>
    <definedName name="_2__123Graph_BCHART_1A" hidden="1">#REF!</definedName>
    <definedName name="_20__123Graph_BWB_ADJ_PRJ" hidden="1">#REF!</definedName>
    <definedName name="_21__123Graph_BWB_ADJ_PRJ" hidden="1">#REF!</definedName>
    <definedName name="_21__123Graph_CCHART_1" hidden="1">#REF!</definedName>
    <definedName name="_22__123Graph_CCHART_1" hidden="1">#REF!</definedName>
    <definedName name="_22__123Graph_CCHART_2" hidden="1">#REF!</definedName>
    <definedName name="_23__123Graph_CCHART_2" hidden="1">#REF!</definedName>
    <definedName name="_23__123Graph_XCHART_1" hidden="1">#REF!</definedName>
    <definedName name="_24__123Graph_ACHART_1" hidden="1">#REF!</definedName>
    <definedName name="_24__123Graph_XCHART_1" hidden="1">#REF!</definedName>
    <definedName name="_24__123Graph_XCHART_2" hidden="1">#REF!</definedName>
    <definedName name="_25__123Graph_ACHART_2" hidden="1">#REF!</definedName>
    <definedName name="_25__123Graph_XCHART_2" hidden="1">#REF!</definedName>
    <definedName name="_3__123Graph_ACHART_1" hidden="1">#REF!</definedName>
    <definedName name="_3__123Graph_AChart_3A" hidden="1">#REF!</definedName>
    <definedName name="_3__123Graph_AWB_ADJ_PRJ" hidden="1">#REF!</definedName>
    <definedName name="_3__123Graph_XCHART_1A" hidden="1">#REF!</definedName>
    <definedName name="_4__123Graph_ACHART_1" hidden="1">#REF!</definedName>
    <definedName name="_4__123Graph_ACHART_2" hidden="1">#REF!</definedName>
    <definedName name="_4__123Graph_AChart_4A" hidden="1">#REF!</definedName>
    <definedName name="_4__123Graph_BCPI_ER_LOG" hidden="1">#REF!</definedName>
    <definedName name="_49__123Graph_AIBA_IBRD" hidden="1">#REF!</definedName>
    <definedName name="_5__123Graph_ACHART_2" hidden="1">#REF!</definedName>
    <definedName name="_5__123Graph_BChart_1A" hidden="1">#REF!</definedName>
    <definedName name="_5__123Graph_BIBA_IBRD" hidden="1">#REF!</definedName>
    <definedName name="_6__123Graph_AIBA_IBRD" hidden="1">#REF!</definedName>
    <definedName name="_6__123Graph_BCHART_1" hidden="1">#REF!</definedName>
    <definedName name="_6__123Graph_BWB_ADJ_PRJ" hidden="1">#REF!</definedName>
    <definedName name="_65__123Graph_AWB_ADJ_PRJ" hidden="1">#REF!</definedName>
    <definedName name="_66__123Graph_BCHART_1" hidden="1">#REF!</definedName>
    <definedName name="_67__123Graph_BCHART_2" hidden="1">#REF!</definedName>
    <definedName name="_7__123Graph_BCHART_2" hidden="1">#REF!</definedName>
    <definedName name="_8__123Graph_AIBA_IBRD" hidden="1">#REF!</definedName>
    <definedName name="_8__123Graph_AWB_ADJ_PRJ" hidden="1">#REF!</definedName>
    <definedName name="_8__123Graph_BCHART_1" hidden="1">#REF!</definedName>
    <definedName name="_9__123Graph_BCHART_1" hidden="1">#REF!</definedName>
    <definedName name="_9__123Graph_BCHART_2" hidden="1">#REF!</definedName>
    <definedName name="_9__123Graph_CCHART_1" hidden="1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8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Dist_Values" hidden="1">#REF!</definedName>
    <definedName name="_Filler" hidden="1">#REF!</definedName>
    <definedName name="_UNDO_UPS_" hidden="1">#REF!</definedName>
    <definedName name="_UNDO_UPS_SEL_" hidden="1">#REF!</definedName>
    <definedName name="_UNDO31X31X_" hidden="1">#REF!</definedName>
    <definedName name="abootooyoyoto" hidden="1">#REF!</definedName>
    <definedName name="abricadibri" hidden="1">#REF!</definedName>
    <definedName name="abrucadubru" hidden="1">#REF!</definedName>
    <definedName name="AccessDatabase" hidden="1">"C:\ncux\bud\rms_inv.mdb"</definedName>
    <definedName name="ad" hidden="1">#REF!</definedName>
    <definedName name="assetprices" hidden="1">#REF!</definedName>
    <definedName name="az" hidden="1">#REF!</definedName>
    <definedName name="Barry" hidden="1">#REF!</definedName>
    <definedName name="BBBB" hidden="1">#REF!</definedName>
    <definedName name="bbbbbbuuuuuuuuuuuuuu" hidden="1">#REF!</definedName>
    <definedName name="BDPH1" hidden="1">#REF!</definedName>
    <definedName name="BDPH10" hidden="1">#REF!</definedName>
    <definedName name="BDPH100" hidden="1">#REF!</definedName>
    <definedName name="BDPH102" hidden="1">#REF!</definedName>
    <definedName name="BDPH103" hidden="1">#REF!</definedName>
    <definedName name="BDPH104" hidden="1">#REF!</definedName>
    <definedName name="BDPH105" hidden="1">#REF!</definedName>
    <definedName name="BDPH106" hidden="1">#REF!</definedName>
    <definedName name="BDPH107" hidden="1">#REF!</definedName>
    <definedName name="BDPH108" hidden="1">#REF!</definedName>
    <definedName name="BDPH109" hidden="1">#REF!</definedName>
    <definedName name="BDPH110" hidden="1">#REF!</definedName>
    <definedName name="BDPH111" hidden="1">#REF!</definedName>
    <definedName name="BDPH115" hidden="1">#REF!</definedName>
    <definedName name="BDPH116" hidden="1">#REF!</definedName>
    <definedName name="BDPH117" hidden="1">#REF!</definedName>
    <definedName name="BDPH118" hidden="1">#REF!</definedName>
    <definedName name="BDPH119" hidden="1">#REF!</definedName>
    <definedName name="BDPH120" hidden="1">#REF!</definedName>
    <definedName name="BDPH121" hidden="1">#REF!</definedName>
    <definedName name="BDPH122" hidden="1">#REF!</definedName>
    <definedName name="BDPH123" hidden="1">#REF!</definedName>
    <definedName name="BDPH124" hidden="1">#REF!</definedName>
    <definedName name="BDPH125" hidden="1">#REF!</definedName>
    <definedName name="BDPH126" hidden="1">#REF!</definedName>
    <definedName name="BDPH127" hidden="1">#REF!</definedName>
    <definedName name="BDPH128" hidden="1">#REF!</definedName>
    <definedName name="BDPH129" hidden="1">#REF!</definedName>
    <definedName name="BDPH130" hidden="1">#REF!</definedName>
    <definedName name="BDPH131" hidden="1">#REF!</definedName>
    <definedName name="BDPH132" hidden="1">#REF!</definedName>
    <definedName name="BDPH133" hidden="1">#REF!</definedName>
    <definedName name="BDPH134" hidden="1">#REF!</definedName>
    <definedName name="BDPH135" hidden="1">#REF!</definedName>
    <definedName name="BDPH136" hidden="1">#REF!</definedName>
    <definedName name="BDPH137" hidden="1">#REF!</definedName>
    <definedName name="BDPH138" hidden="1">#REF!</definedName>
    <definedName name="BDPH139" hidden="1">#REF!</definedName>
    <definedName name="BDPH140" hidden="1">#REF!</definedName>
    <definedName name="BDPH141" hidden="1">#REF!</definedName>
    <definedName name="BDPH142" hidden="1">#REF!</definedName>
    <definedName name="BDPH143" hidden="1">#REF!</definedName>
    <definedName name="BDPH144" hidden="1">#REF!</definedName>
    <definedName name="BDPH145" hidden="1">#REF!</definedName>
    <definedName name="BDPH146" hidden="1">#REF!</definedName>
    <definedName name="BDPH147" hidden="1">#REF!</definedName>
    <definedName name="BDPH148" hidden="1">#REF!</definedName>
    <definedName name="BDPH149" hidden="1">#REF!</definedName>
    <definedName name="BDPH150" hidden="1">#REF!</definedName>
    <definedName name="BDPH151" hidden="1">#REF!</definedName>
    <definedName name="BDPH152" hidden="1">#REF!</definedName>
    <definedName name="BDPH153" hidden="1">#REF!</definedName>
    <definedName name="BDPH154" hidden="1">#REF!</definedName>
    <definedName name="BDPH155" hidden="1">#REF!</definedName>
    <definedName name="BDPH156" hidden="1">#REF!</definedName>
    <definedName name="BDPH157" hidden="1">#REF!</definedName>
    <definedName name="BDPH158" hidden="1">#REF!</definedName>
    <definedName name="BDPH159" hidden="1">#REF!</definedName>
    <definedName name="BDPH160" hidden="1">#REF!</definedName>
    <definedName name="BDPH161" hidden="1">#REF!</definedName>
    <definedName name="BDPH162" hidden="1">#REF!</definedName>
    <definedName name="BDPH163" hidden="1">#REF!</definedName>
    <definedName name="BDPH164" hidden="1">#REF!</definedName>
    <definedName name="BDPH165" hidden="1">#REF!</definedName>
    <definedName name="BDPH166" hidden="1">#REF!</definedName>
    <definedName name="BDPH167" hidden="1">#REF!</definedName>
    <definedName name="BDPH168" hidden="1">#REF!</definedName>
    <definedName name="BDPH169" hidden="1">#REF!</definedName>
    <definedName name="BDPH170" hidden="1">#REF!</definedName>
    <definedName name="BDPH171" hidden="1">#REF!</definedName>
    <definedName name="BDPH172" hidden="1">#REF!</definedName>
    <definedName name="BDPH173" hidden="1">#REF!</definedName>
    <definedName name="BDPH174" hidden="1">#REF!</definedName>
    <definedName name="BDPH175" hidden="1">#REF!</definedName>
    <definedName name="BDPH176" hidden="1">#REF!</definedName>
    <definedName name="BDPH177" hidden="1">#REF!</definedName>
    <definedName name="BDPH178" hidden="1">#REF!</definedName>
    <definedName name="BDPH179" hidden="1">#REF!</definedName>
    <definedName name="BDPH180" hidden="1">#REF!</definedName>
    <definedName name="BDPH181" hidden="1">#REF!</definedName>
    <definedName name="BDPH182" hidden="1">#REF!</definedName>
    <definedName name="BDPH183" hidden="1">#REF!</definedName>
    <definedName name="BDPH184" hidden="1">#REF!</definedName>
    <definedName name="BDPH185" hidden="1">#REF!</definedName>
    <definedName name="BDPH186" hidden="1">#REF!</definedName>
    <definedName name="BDPH188" hidden="1">#REF!</definedName>
    <definedName name="BDPH190" hidden="1">#REF!</definedName>
    <definedName name="BDPH191" hidden="1">#REF!</definedName>
    <definedName name="BDPH192" hidden="1">#REF!</definedName>
    <definedName name="BDPH193" hidden="1">#REF!</definedName>
    <definedName name="BDPH194" hidden="1">#REF!</definedName>
    <definedName name="BDPH195" hidden="1">#REF!</definedName>
    <definedName name="BDPH196" hidden="1">#REF!</definedName>
    <definedName name="BDPH197" hidden="1">#REF!</definedName>
    <definedName name="BDPH199" hidden="1">#REF!</definedName>
    <definedName name="BDPH200" hidden="1">#REF!</definedName>
    <definedName name="BDPH201" hidden="1">#REF!</definedName>
    <definedName name="BDPH202" hidden="1">#REF!</definedName>
    <definedName name="BDPH203" hidden="1">#REF!</definedName>
    <definedName name="BDPH205" hidden="1">#REF!</definedName>
    <definedName name="BDPH206" hidden="1">#REF!</definedName>
    <definedName name="BDPH207" hidden="1">#REF!</definedName>
    <definedName name="BDPH208" hidden="1">#REF!</definedName>
    <definedName name="BIS" hidden="1">#REF!</definedName>
    <definedName name="blab" hidden="1">#REF!</definedName>
    <definedName name="Blabla" hidden="1">#REF!</definedName>
    <definedName name="BLL" hidden="1">#REF!</definedName>
    <definedName name="BLPH" hidden="1">#REF!</definedName>
    <definedName name="BLPH10012" hidden="1">#REF!</definedName>
    <definedName name="BLPH10013" hidden="1">#REF!</definedName>
    <definedName name="BLPH10014" hidden="1">#REF!</definedName>
    <definedName name="BLPH10015" hidden="1">#REF!</definedName>
    <definedName name="BLPH11" hidden="1">#REF!</definedName>
    <definedName name="BLPH11231" hidden="1">#REF!</definedName>
    <definedName name="BLPH11232" hidden="1">#REF!</definedName>
    <definedName name="BLPH11242" hidden="1">#REF!</definedName>
    <definedName name="BLPH11243" hidden="1">#REF!</definedName>
    <definedName name="BLPH11244" hidden="1">#REF!</definedName>
    <definedName name="BLPH11245" hidden="1">#REF!</definedName>
    <definedName name="BLPH11246" hidden="1">#REF!</definedName>
    <definedName name="BLPH11247" hidden="1">#REF!</definedName>
    <definedName name="BLPH11248" hidden="1">#REF!</definedName>
    <definedName name="BLPH11249" hidden="1">#REF!</definedName>
    <definedName name="BLPH11250" hidden="1">#REF!</definedName>
    <definedName name="BLPH11251" hidden="1">#REF!</definedName>
    <definedName name="BLPH11252" hidden="1">#REF!</definedName>
    <definedName name="BLPH11253" hidden="1">#REF!</definedName>
    <definedName name="BLPH11254" hidden="1">#REF!</definedName>
    <definedName name="BLPH11255" hidden="1">#REF!</definedName>
    <definedName name="BLPH11256" hidden="1">#REF!</definedName>
    <definedName name="BLPH11257" hidden="1">#REF!</definedName>
    <definedName name="BLPH11258" hidden="1">#REF!</definedName>
    <definedName name="BLPH11259" hidden="1">#REF!</definedName>
    <definedName name="BLPH11260" hidden="1">#REF!</definedName>
    <definedName name="BLPH11261" hidden="1">#REF!</definedName>
    <definedName name="BLPH11262" hidden="1">#REF!</definedName>
    <definedName name="BLPH11263" hidden="1">#REF!</definedName>
    <definedName name="BLPH11264" hidden="1">#REF!</definedName>
    <definedName name="BLPH11265" hidden="1">#REF!</definedName>
    <definedName name="BLPH11266" hidden="1">#REF!</definedName>
    <definedName name="BLPH11267" hidden="1">#REF!</definedName>
    <definedName name="BLPH11268" hidden="1">#REF!</definedName>
    <definedName name="BLPH11269" hidden="1">#REF!</definedName>
    <definedName name="BLPH11270" hidden="1">#REF!</definedName>
    <definedName name="BLPH11271" hidden="1">#REF!</definedName>
    <definedName name="BLPH11272" hidden="1">#REF!</definedName>
    <definedName name="BLPH11273" hidden="1">#REF!</definedName>
    <definedName name="BLPH11274" hidden="1">#REF!</definedName>
    <definedName name="BLPH11275" hidden="1">#REF!</definedName>
    <definedName name="BLPH11276" hidden="1">#REF!</definedName>
    <definedName name="BLPH11277" hidden="1">#REF!</definedName>
    <definedName name="BLPH11278" hidden="1">#REF!</definedName>
    <definedName name="BLPH11279" hidden="1">#REF!</definedName>
    <definedName name="BLPH11280" hidden="1">#REF!</definedName>
    <definedName name="BLPH11281" hidden="1">#REF!</definedName>
    <definedName name="BLPH11282" hidden="1">#REF!</definedName>
    <definedName name="BLPH11283" hidden="1">#REF!</definedName>
    <definedName name="BLPH11284" hidden="1">#REF!</definedName>
    <definedName name="BLPH11285" hidden="1">#REF!</definedName>
    <definedName name="BLPH11286" hidden="1">#REF!</definedName>
    <definedName name="BLPH11287" hidden="1">#REF!</definedName>
    <definedName name="BLPH11288" hidden="1">#REF!</definedName>
    <definedName name="BLPH11289" hidden="1">#REF!</definedName>
    <definedName name="BLPH11290" hidden="1">#REF!</definedName>
    <definedName name="BLPH11291" hidden="1">#REF!</definedName>
    <definedName name="BLPH11292" hidden="1">#REF!</definedName>
    <definedName name="BLPH11293" hidden="1">#REF!</definedName>
    <definedName name="BLPH11294" hidden="1">#REF!</definedName>
    <definedName name="BLPH11295" hidden="1">#REF!</definedName>
    <definedName name="BLPH11296" hidden="1">#REF!</definedName>
    <definedName name="BLPH11297" hidden="1">#REF!</definedName>
    <definedName name="BLPH11298" hidden="1">#REF!</definedName>
    <definedName name="BLPH11299" hidden="1">#REF!</definedName>
    <definedName name="BLPH11300" hidden="1">#REF!</definedName>
    <definedName name="BLPH11301" hidden="1">#REF!</definedName>
    <definedName name="BLPH11302" hidden="1">#REF!</definedName>
    <definedName name="BLPH11303" hidden="1">#REF!</definedName>
    <definedName name="BLPH11304" hidden="1">#REF!</definedName>
    <definedName name="BLPH11305" hidden="1">#REF!</definedName>
    <definedName name="BLPH11306" hidden="1">#REF!</definedName>
    <definedName name="BLPH11307" hidden="1">#REF!</definedName>
    <definedName name="BLPH11308" hidden="1">#REF!</definedName>
    <definedName name="BLPH11309" hidden="1">#REF!</definedName>
    <definedName name="BLPH11310" hidden="1">#REF!</definedName>
    <definedName name="BLPH11311" hidden="1">#REF!</definedName>
    <definedName name="BLPH11312" hidden="1">#REF!</definedName>
    <definedName name="BLPH11313" hidden="1">#REF!</definedName>
    <definedName name="BLPH11314" hidden="1">#REF!</definedName>
    <definedName name="BLPH11315" hidden="1">#REF!</definedName>
    <definedName name="BLPH11317" hidden="1">#REF!</definedName>
    <definedName name="BLPH144B" hidden="1">#REF!</definedName>
    <definedName name="BLPH15B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19B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40000004" hidden="1">#REF!</definedName>
    <definedName name="BLPH40000007" hidden="1">#REF!</definedName>
    <definedName name="BLPH40000008" hidden="1">#REF!</definedName>
    <definedName name="BLPH40000009" hidden="1">#REF!</definedName>
    <definedName name="BLPH40000026" hidden="1">#REF!</definedName>
    <definedName name="BLPH40000027" hidden="1">#REF!</definedName>
    <definedName name="BLPH40000028" hidden="1">#REF!</definedName>
    <definedName name="BLPH40000036" hidden="1">#REF!</definedName>
    <definedName name="BLPH40000050" hidden="1">#REF!</definedName>
    <definedName name="BLPH40000058" hidden="1">#REF!</definedName>
    <definedName name="BLPH40000059" hidden="1">#REF!</definedName>
    <definedName name="BLPH40000060" hidden="1">#REF!</definedName>
    <definedName name="BLPH40000061" hidden="1">#REF!</definedName>
    <definedName name="BLPH40000062" hidden="1">#REF!</definedName>
    <definedName name="BLPH40000063" hidden="1">#REF!</definedName>
    <definedName name="BLPH40000064" hidden="1">#REF!</definedName>
    <definedName name="BLPH40000065" hidden="1">#REF!</definedName>
    <definedName name="BLPH40000066" hidden="1">#REF!</definedName>
    <definedName name="BLPH40000067" hidden="1">#REF!</definedName>
    <definedName name="BLPH40000068" hidden="1">#REF!</definedName>
    <definedName name="BLPH40000069" hidden="1">#REF!</definedName>
    <definedName name="BLPH40000070" hidden="1">#REF!</definedName>
    <definedName name="BLPH40000071" hidden="1">#REF!</definedName>
    <definedName name="BLPH40000073" hidden="1">#REF!</definedName>
    <definedName name="BLPH40000074" hidden="1">#REF!</definedName>
    <definedName name="BLPH40000075" hidden="1">#REF!</definedName>
    <definedName name="BLPH48" hidden="1">#REF!</definedName>
    <definedName name="BLPH49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9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J1" hidden="1">#REF!</definedName>
    <definedName name="BLPJ2" hidden="1">#REF!</definedName>
    <definedName name="BLPJ3" hidden="1">#REF!</definedName>
    <definedName name="BLPK1" hidden="1">#REF!</definedName>
    <definedName name="Bondchacha" hidden="1">#REF!</definedName>
    <definedName name="Bondcurve" hidden="1">#REF!</definedName>
    <definedName name="Bondcurve28" hidden="1">#REF!</definedName>
    <definedName name="Bondcurves23" hidden="1">#REF!</definedName>
    <definedName name="BondDDD" hidden="1">#REF!</definedName>
    <definedName name="char20" hidden="1">#REF!</definedName>
    <definedName name="chart19" hidden="1">#REF!</definedName>
    <definedName name="chart27" hidden="1">0</definedName>
    <definedName name="chart28" hidden="1">0</definedName>
    <definedName name="chart35" hidden="1">#REF!</definedName>
    <definedName name="chart4" hidden="1">{#N/A,#N/A,FALSE,"CB";#N/A,#N/A,FALSE,"CMB";#N/A,#N/A,FALSE,"NBFI"}</definedName>
    <definedName name="chart9" hidden="1">#REF!</definedName>
    <definedName name="ChartA" hidden="1">{#N/A,#N/A,FALSE,"CB";#N/A,#N/A,FALSE,"CMB";#N/A,#N/A,FALSE,"NBFI"}</definedName>
    <definedName name="Chartsik" hidden="1">#REF!</definedName>
    <definedName name="Chartvel" hidden="1">{#N/A,#N/A,FALSE,"CB";#N/A,#N/A,FALSE,"CMB";#N/A,#N/A,FALSE,"BSYS";#N/A,#N/A,FALSE,"NBFI";#N/A,#N/A,FALSE,"FSYS"}</definedName>
    <definedName name="China1" hidden="1">{#N/A,#N/A,FALSE,"BOP"}</definedName>
    <definedName name="CIQWBGuid" hidden="1">"d5c96f1c-0b8a-4f1d-9499-e87469d8b72c"</definedName>
    <definedName name="crono1" hidden="1">{#N/A,#N/A,FALSE,"DIVIG"}</definedName>
    <definedName name="Cwvu.sa97." hidden="1">#REF!,#REF!</definedName>
    <definedName name="DDDD" hidden="1">{"TRADE_COMP",#N/A,FALSE,"TAB23APP";"BOP",#N/A,FALSE,"TAB6";"DOT",#N/A,FALSE,"TAB24APP";"EXTDEBT",#N/A,FALSE,"TAB25APP"}</definedName>
    <definedName name="ddldldldldoepepss" hidden="1">#REF!</definedName>
    <definedName name="df" hidden="1">{#N/A,#N/A,FALSE,"STATE"}</definedName>
    <definedName name="DME_Dirty" hidden="1">"False"</definedName>
    <definedName name="DME_LocalFile" hidden="1">"True"</definedName>
    <definedName name="dpdpdpdpdpcdmsmsm" hidden="1">#REF!</definedName>
    <definedName name="er" hidden="1">{"Main Economic Indicators",#N/A,FALSE,"C"}</definedName>
    <definedName name="ergf" hidden="1">{"Main Economic Indicators",#N/A,FALSE,"C"}</definedName>
    <definedName name="ergferger" hidden="1">{"Main Economic Indicators",#N/A,FALSE,"C"}</definedName>
    <definedName name="FFFF" hidden="1">{#N/A,#N/A,FALSE,"DOC";"TB_28",#N/A,FALSE,"FITB_28";"TB_91",#N/A,FALSE,"FITB_91";"TB_182",#N/A,FALSE,"FITB_182";"TB_273",#N/A,FALSE,"FITB_273";"TB_364",#N/A,FALSE,"FITB_364 ";"SUMMARY",#N/A,FALSE,"Summary"}</definedName>
    <definedName name="fg" hidden="1">{"TRADE_COMP",#N/A,FALSE,"TAB23APP";"BOP",#N/A,FALSE,"TAB6";"DOT",#N/A,FALSE,"TAB24APP";"EXTDEBT",#N/A,FALSE,"TAB25APP"}</definedName>
    <definedName name="Formulebizarre" hidden="1">#REF!</definedName>
    <definedName name="fshrts" hidden="1">#REF!</definedName>
    <definedName name="gffffffffffffff" hidden="1">#REF!</definedName>
    <definedName name="gggggg" hidden="1">#REF!</definedName>
    <definedName name="ghgh" hidden="1">#REF!</definedName>
    <definedName name="GOO" hidden="1">{#N/A,#N/A,FALSE,"SimInp1";#N/A,#N/A,FALSE,"SimInp2";#N/A,#N/A,FALSE,"SimOut1";#N/A,#N/A,FALSE,"SimOut2";#N/A,#N/A,FALSE,"SimOut3";#N/A,#N/A,FALSE,"SimOut4";#N/A,#N/A,FALSE,"SimOut5"}</definedName>
    <definedName name="hello" hidden="1">{#N/A,#N/A,FALSE,"CB";#N/A,#N/A,FALSE,"CMB";#N/A,#N/A,FALSE,"BSYS";#N/A,#N/A,FALSE,"NBFI";#N/A,#N/A,FALSE,"FSYS"}</definedName>
    <definedName name="hfshfrt" hidden="1">#REF!</definedName>
    <definedName name="HTML_PathFileMac" hidden="1">"Macintosh HD:HomePageStuff:New_Home_Page:datafile:histret.html"</definedName>
    <definedName name="HTML1_1" hidden="1">"[BOLE8097b.xls]Inflación!$C$3:$D$31"</definedName>
    <definedName name="HTML1_10" hidden="1">""</definedName>
    <definedName name="HTML1_11" hidden="1">1</definedName>
    <definedName name="HTML1_12" hidden="1">"k:\pim01.htm"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10_1" hidden="1">"[BOLE8097b.xls]Bcambycomer!$B$8:$D$36"</definedName>
    <definedName name="HTML10_10" hidden="1">""</definedName>
    <definedName name="HTML10_11" hidden="1">1</definedName>
    <definedName name="HTML10_12" hidden="1">"k:\pim11.htm"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"13/05/98"</definedName>
    <definedName name="HTML10_9" hidden="1">"Alfredo Hernandez"</definedName>
    <definedName name="HTML11_1" hidden="1">"[BOLE8097b.xls]Ingresos!$B$5:$H$35"</definedName>
    <definedName name="HTML11_10" hidden="1">""</definedName>
    <definedName name="HTML11_11" hidden="1">1</definedName>
    <definedName name="HTML11_12" hidden="1">"k:\pim12.htm"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"21/05/98"</definedName>
    <definedName name="HTML11_9" hidden="1">"Alfredo Hernandez"</definedName>
    <definedName name="HTML12_1" hidden="1">"[BOLE8097b.xls]Egresos!$B$5:$H$35"</definedName>
    <definedName name="HTML12_10" hidden="1">""</definedName>
    <definedName name="HTML12_11" hidden="1">1</definedName>
    <definedName name="HTML12_12" hidden="1">"k:\pim13.htm"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"18/05/98"</definedName>
    <definedName name="HTML12_9" hidden="1">"Alfredo Hernandez"</definedName>
    <definedName name="HTML13_1" hidden="1">"[BOLE8097b.xls]Exfob!$B$5:$I$36"</definedName>
    <definedName name="HTML13_10" hidden="1">""</definedName>
    <definedName name="HTML13_11" hidden="1">1</definedName>
    <definedName name="HTML13_12" hidden="1">"k:\pim14.htm"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"18/05/98"</definedName>
    <definedName name="HTML13_9" hidden="1">"Alfredo Hernandez"</definedName>
    <definedName name="HTML14_1" hidden="1">"[BOLE8097b.xls]Impocif!$B$5:$I$35"</definedName>
    <definedName name="HTML14_10" hidden="1">""</definedName>
    <definedName name="HTML14_11" hidden="1">1</definedName>
    <definedName name="HTML14_12" hidden="1">"k:\pim15.htm"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"18/05/98"</definedName>
    <definedName name="HTML14_9" hidden="1">"Alfredo Hernandez"</definedName>
    <definedName name="HTML15_1" hidden="1">"[BOLE8097b.xls]Dpúbext!$C$3:$I$33"</definedName>
    <definedName name="HTML15_10" hidden="1">""</definedName>
    <definedName name="HTML15_11" hidden="1">1</definedName>
    <definedName name="HTML15_12" hidden="1">"k:\pim16.htm"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"18/05/98"</definedName>
    <definedName name="HTML15_9" hidden="1">"Alfredo Hernandez"</definedName>
    <definedName name="HTML16_1" hidden="1">"[BOLE8097b.xls]DpúintBdeG!$C$3:$F$33"</definedName>
    <definedName name="HTML16_10" hidden="1">""</definedName>
    <definedName name="HTML16_11" hidden="1">1</definedName>
    <definedName name="HTML16_12" hidden="1">"k:/pim17.htm"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"18/05/98"</definedName>
    <definedName name="HTML16_9" hidden="1">"Alfredo Hernandez"</definedName>
    <definedName name="HTML17_1" hidden="1">"[BOLE8097b.xls]Dpúintsecpú!$C$3:$H$33"</definedName>
    <definedName name="HTML17_10" hidden="1">""</definedName>
    <definedName name="HTML17_11" hidden="1">1</definedName>
    <definedName name="HTML17_12" hidden="1">"k:\pim18.htm"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"18/05/98"</definedName>
    <definedName name="HTML17_9" hidden="1">"Alfredo Hernandez"</definedName>
    <definedName name="HTML18_1" hidden="1">"[BOLE8097b.xls]Bmonetaria!$C$3:$F$31"</definedName>
    <definedName name="HTML18_10" hidden="1">""</definedName>
    <definedName name="HTML18_11" hidden="1">1</definedName>
    <definedName name="HTML18_12" hidden="1">"k:pim08.htm"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"21/05/98"</definedName>
    <definedName name="HTML18_9" hidden="1">"Alfredo Hernandez"</definedName>
    <definedName name="HTML19_1" hidden="1">"[BOLE8097b.xls]Gcingre!$C$3:$H$31"</definedName>
    <definedName name="HTML19_10" hidden="1">""</definedName>
    <definedName name="HTML19_11" hidden="1">1</definedName>
    <definedName name="HTML19_12" hidden="1">"k:\pim18.htm"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"[BOLE8097b.xls]Tinterés!$C$3:$E$33"</definedName>
    <definedName name="HTML2_10" hidden="1">""</definedName>
    <definedName name="HTML2_11" hidden="1">1</definedName>
    <definedName name="HTML2_12" hidden="1">"K:\pim03.htm"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20_1" hidden="1">"[BOLE8097b.xls]Gcgtosyresp!$C$3:$G$32"</definedName>
    <definedName name="HTML20_10" hidden="1">""</definedName>
    <definedName name="HTML20_11" hidden="1">1</definedName>
    <definedName name="HTML20_12" hidden="1">"k:\pim19.htm"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"[BOLE8097b.xls]Pib!$C$3:$E$31"</definedName>
    <definedName name="HTML21_10" hidden="1">""</definedName>
    <definedName name="HTML21_11" hidden="1">1</definedName>
    <definedName name="HTML21_12" hidden="1">"k:\pim20.htm"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"[BOLE8097b.xls]Dpúintsecpú!$C$3:$H$32"</definedName>
    <definedName name="HTML22_10" hidden="1">""</definedName>
    <definedName name="HTML22_11" hidden="1">1</definedName>
    <definedName name="HTML22_12" hidden="1">"k:\pim17.htm"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"'[ESTADISTICAS ANUALES.xls]TCambio'!$B$6:$F$31"</definedName>
    <definedName name="HTML23_10" hidden="1">""</definedName>
    <definedName name="HTML23_11" hidden="1">1</definedName>
    <definedName name="HTML23_12" hidden="1">"K:\internet\pim02.htm"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"'[ESTADISTICAS ANUALES.xls]Ainbdg'!$C$3:$F$32"</definedName>
    <definedName name="HTML24_10" hidden="1">""</definedName>
    <definedName name="HTML24_11" hidden="1">1</definedName>
    <definedName name="HTML24_12" hidden="1">"K:\internet\pim06.htm"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"'[ESTADISTICAS ANUALES.xls]Crbancario'!$C$3:$F$28"</definedName>
    <definedName name="HTML25_10" hidden="1">""</definedName>
    <definedName name="HTML25_11" hidden="1">1</definedName>
    <definedName name="HTML25_12" hidden="1">"K:\internet\pim07.htm"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"19/08/98"</definedName>
    <definedName name="HTML25_9" hidden="1">""</definedName>
    <definedName name="HTML26_1" hidden="1">"'[ESTADISTICAS ANUALES.xls]Amonetarios'!$C$3:$E$29"</definedName>
    <definedName name="HTML26_10" hidden="1">""</definedName>
    <definedName name="HTML26_11" hidden="1">1</definedName>
    <definedName name="HTML26_12" hidden="1">"K:\internet\pim10.htm"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"'[ESTADISTICAS ANUALES.xls]Rmin'!$C$3:$D$29"</definedName>
    <definedName name="HTML27_10" hidden="1">""</definedName>
    <definedName name="HTML27_11" hidden="1">1</definedName>
    <definedName name="HTML27_12" hidden="1">"K:\internet\pim04.htm"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"'[ESTADISTICAS ANUALES.xls]Depbcos'!$C$3:$F$28"</definedName>
    <definedName name="HTML28_10" hidden="1">""</definedName>
    <definedName name="HTML28_11" hidden="1">1</definedName>
    <definedName name="HTML28_12" hidden="1">"K:\internet\pim09.htm"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3_1" hidden="1">"[BOLE8097b.xls]TCambio!$B$6:$F$35"</definedName>
    <definedName name="HTML3_10" hidden="1">""</definedName>
    <definedName name="HTML3_11" hidden="1">1</definedName>
    <definedName name="HTML3_12" hidden="1">"k:\pim02.htm"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"21/05/98"</definedName>
    <definedName name="HTML3_9" hidden="1">"Alfredo Hernandez"</definedName>
    <definedName name="HTML4_1" hidden="1">"[BOLE8097b.xls]Rmin!$C$3:$D$32"</definedName>
    <definedName name="HTML4_10" hidden="1">""</definedName>
    <definedName name="HTML4_11" hidden="1">1</definedName>
    <definedName name="HTML4_12" hidden="1">"K:\pim04.htm"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"21/05/98"</definedName>
    <definedName name="HTML4_9" hidden="1">"Alfredo Hernandez"</definedName>
    <definedName name="HTML5_1" hidden="1">"[BOLE8097b.xls]Emoneta!$C$3:$D$30"</definedName>
    <definedName name="HTML5_10" hidden="1">""</definedName>
    <definedName name="HTML5_11" hidden="1">1</definedName>
    <definedName name="HTML5_12" hidden="1">"k:\pim05.htm"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"11/05/98"</definedName>
    <definedName name="HTML5_9" hidden="1">"Alfredo Hernandez"</definedName>
    <definedName name="HTML6_1" hidden="1">"[BOLE8097b.xls]Depbcos!$C$3:$F$31"</definedName>
    <definedName name="HTML6_10" hidden="1">""</definedName>
    <definedName name="HTML6_11" hidden="1">1</definedName>
    <definedName name="HTML6_12" hidden="1">"k:\pim09.htm"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"[BOLE8097b.xls]Ainbdg!$C$3:$F$34"</definedName>
    <definedName name="HTML7_10" hidden="1">""</definedName>
    <definedName name="HTML7_11" hidden="1">1</definedName>
    <definedName name="HTML7_12" hidden="1">"k:\pim06.htm"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"21/05/98"</definedName>
    <definedName name="HTML7_9" hidden="1">"Alfredo Hernandez"</definedName>
    <definedName name="HTML8_1" hidden="1">"[BOLE8097b.xls]Crbancario!$C$3:$F$31"</definedName>
    <definedName name="HTML8_10" hidden="1">""</definedName>
    <definedName name="HTML8_11" hidden="1">1</definedName>
    <definedName name="HTML8_12" hidden="1">"k:\pim07.htm"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"11/05/98"</definedName>
    <definedName name="HTML8_9" hidden="1">"Alfredo Hernandez"</definedName>
    <definedName name="HTML9_1" hidden="1">"[BOLE8097b.xls]Amonetarios!$C$3:$E$32"</definedName>
    <definedName name="HTML9_10" hidden="1">""</definedName>
    <definedName name="HTML9_11" hidden="1">1</definedName>
    <definedName name="HTML9_12" hidden="1">"k:\pim10.htm"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28</definedName>
    <definedName name="huh" hidden="1">{"'Basic'!$A$1:$F$96"}</definedName>
    <definedName name="Img_ML_1t5s6u1f" hidden="1">"IMG_10"</definedName>
    <definedName name="Img_ML_1y7a6c1t" hidden="1">"IMG_10"</definedName>
    <definedName name="Img_ML_2e1r5p2m" hidden="1">"IMG_18"</definedName>
    <definedName name="Img_ML_2j3u6k8a" hidden="1">"IMG_10"</definedName>
    <definedName name="Img_ML_2v6s9i5c" hidden="1">"IMG_12"</definedName>
    <definedName name="Img_ML_2x1b8j5c" hidden="1">"IMG_12"</definedName>
    <definedName name="Img_ML_3b3j3x9k" hidden="1">"IMG_10"</definedName>
    <definedName name="Img_ML_3c6e9c4g" hidden="1">"IMG_12"</definedName>
    <definedName name="Img_ML_3e2q4k7i" hidden="1">"IMG_10"</definedName>
    <definedName name="Img_ML_3h2n3p4v" hidden="1">"IMG_18"</definedName>
    <definedName name="Img_ML_3p5d9q5j" hidden="1">"IMG_10"</definedName>
    <definedName name="Img_ML_3y1j4m2m" hidden="1">"IMG_10"</definedName>
    <definedName name="Img_ML_4m3p5r8j" hidden="1">"IMG_12"</definedName>
    <definedName name="Img_ML_5e7s6t2u" hidden="1">"IMG_18"</definedName>
    <definedName name="Img_ML_5f9d1i5x" hidden="1">"IMG_18"</definedName>
    <definedName name="Img_ML_5h6q3g8u" hidden="1">"IMG_5"</definedName>
    <definedName name="Img_ML_5k8u7s9i" hidden="1">"IMG_18"</definedName>
    <definedName name="Img_ML_6f2p1m9g" hidden="1">"IMG_10"</definedName>
    <definedName name="Img_ML_6k9c9p4d" hidden="1">"IMG_18"</definedName>
    <definedName name="Img_ML_6r9u1n9k" hidden="1">"IMG_10"</definedName>
    <definedName name="Img_ML_6y9f7y3n" hidden="1">"IMG_10"</definedName>
    <definedName name="Img_ML_7m5m4k3b" hidden="1">"IMG_10"</definedName>
    <definedName name="Img_ML_7n6h3t1t" hidden="1">"IMG_10"</definedName>
    <definedName name="Img_ML_8b9j5t1p" hidden="1">"IMG_5"</definedName>
    <definedName name="Img_ML_8h3m3i1m" hidden="1">"IMG_12"</definedName>
    <definedName name="Img_ML_8j3w6p4c" hidden="1">"IMG_10"</definedName>
    <definedName name="Img_ML_8r1k8t4y" hidden="1">"IMG_10"</definedName>
    <definedName name="Img_ML_8s3q3c1i" hidden="1">"IMG_12"</definedName>
    <definedName name="Img_ML_9n1s4m5f" hidden="1">"IMG_12"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43214.4730324074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39486.6245833333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" hidden="1">#REF!</definedName>
    <definedName name="jan" hidden="1">{#N/A,#N/A,FALSE,"CB";#N/A,#N/A,FALSE,"CMB";#N/A,#N/A,FALSE,"NBFI"}</definedName>
    <definedName name="jgiu" hidden="1">#REF!</definedName>
    <definedName name="jhhj" hidden="1">{#N/A,#N/A,FALSE,"DEBTSVC"}</definedName>
    <definedName name="kkkkkk" hidden="1">{#N/A,#N/A,FALSE,"EXTDEBT"}</definedName>
    <definedName name="limcount" hidden="1">3</definedName>
    <definedName name="MarketCycle" hidden="1">42863.1456481482</definedName>
    <definedName name="mqlksdglqdksh" hidden="1">#REF!</definedName>
    <definedName name="nfrtrs" hidden="1">#REF!</definedName>
    <definedName name="Novo" hidden="1">#REF!</definedName>
    <definedName name="qqq" hidden="1">{#N/A,#N/A,FALSE,"EXTRABUDGT"}</definedName>
    <definedName name="RATE" hidden="1">#REF!</definedName>
    <definedName name="rate33" hidden="1">#REF!</definedName>
    <definedName name="rate333" hidden="1">#REF!</definedName>
    <definedName name="rerrrr" hidden="1">{"Riqfin97",#N/A,FALSE,"Tran";"Riqfinpro",#N/A,FALSE,"Tran"}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" hidden="1">#REF!</definedName>
    <definedName name="rtr" hidden="1">{"Main Economic Indicators",#N/A,FALSE,"C"}</definedName>
    <definedName name="rtre" hidden="1">{"Main Economic Indicators",#N/A,FALSE,"C"}</definedName>
    <definedName name="Rwvu.sa97." hidden="1">#REF!,#REF!,#REF!,#REF!</definedName>
    <definedName name="SAPBEXrevision" hidden="1">1</definedName>
    <definedName name="SAPBEXsysID" hidden="1">"BWP"</definedName>
    <definedName name="SAPBEXwbID" hidden="1">"3JWNKPJPDI66MGYD92LLP8GMR"</definedName>
    <definedName name="sdfq" hidden="1">#REF!</definedName>
    <definedName name="sfdhfhdfsg" hidden="1">#REF!</definedName>
    <definedName name="SpreadsheetBuilder_1" hidden="1">#REF!</definedName>
    <definedName name="SpreadsheetBuilder_10" hidden="1">#REF!</definedName>
    <definedName name="SpreadsheetBuilder_17" hidden="1">#REF!</definedName>
    <definedName name="SpreadsheetBuilder_2" hidden="1">#REF!</definedName>
    <definedName name="SpreadsheetBuilder_3" hidden="1">Sheet1!$A$1:$F$7</definedName>
    <definedName name="SpreadsheetBuilder_4" hidden="1">Sheet1!$T$4:$U$10</definedName>
    <definedName name="SpreadsheetBuilder_8" hidden="1">#REF!</definedName>
    <definedName name="SpreadsheetBuilder_9" hidden="1">#REF!</definedName>
    <definedName name="Srinmmf" hidden="1">#REF!</definedName>
    <definedName name="ssssssssssssssssssss" hidden="1">#REF!</definedName>
    <definedName name="strompfg" hidden="1">#REF!</definedName>
    <definedName name="THISXXX" hidden="1">{"TBILLS_ALL",#N/A,FALSE,"FITB_all"}</definedName>
    <definedName name="TRNR_0005a91c76b34dd98afe712b2ad00cb5_239_2" hidden="1">#REF!</definedName>
    <definedName name="TRNR_001260f93b97446f9fbd80be5d5f774d_522_2" hidden="1">#REF!</definedName>
    <definedName name="TRNR_0036fbd2162341fb96f303e6cb9e2ee9_10_1" hidden="1">#REF!</definedName>
    <definedName name="TRNR_00451704a0a14d5ab54c0f5794a2bd8f_625_2" hidden="1">#REF!</definedName>
    <definedName name="TRNR_005450b7c50142a19f39035e15aeea7e_547_2" hidden="1">#REF!</definedName>
    <definedName name="TRNR_005afa85f91b4dd6888f9641784cb5c8_475_3" hidden="1">#REF!</definedName>
    <definedName name="TRNR_00e3599c89064b209556441f8d349df7_510_4" hidden="1">#REF!</definedName>
    <definedName name="TRNR_00e4cdc068d14453893928c4c493c03f_13_1" hidden="1">#REF!</definedName>
    <definedName name="TRNR_011719de57a74ae6b03b01997594ab04_536_1" hidden="1">#REF!</definedName>
    <definedName name="TRNR_012e3d54e02d474cbb1233af0a3807ca_10_1" hidden="1">#REF!</definedName>
    <definedName name="TRNR_014a848ffe3a4a089725babbf251a998_10_1" hidden="1">#REF!</definedName>
    <definedName name="TRNR_01513b364c874d4b90ade00317bdc06a_100_1" hidden="1">#REF!</definedName>
    <definedName name="TRNR_01657e04532f43348df7c25583122e08_397_2" hidden="1">#REF!</definedName>
    <definedName name="TRNR_018e52edf6f941869ef852b48c1d717f_16_1" hidden="1">#REF!</definedName>
    <definedName name="TRNR_0196de78780441e8baeecccf3cebe867_225_3" hidden="1">#REF!</definedName>
    <definedName name="TRNR_019f2518c7f842a8b8dc273ddaad0658_870_7" hidden="1">#REF!</definedName>
    <definedName name="TRNR_01a6ca62066c47f1ba4e105b2721aad4_419_2" hidden="1">#REF!</definedName>
    <definedName name="TRNR_01bc8fbeb6664e6eafaa86378b2463be_241_3" hidden="1">#REF!</definedName>
    <definedName name="TRNR_01be8a02ad0849ea8e65a7c0d490c6a3_246_2" hidden="1">#REF!</definedName>
    <definedName name="TRNR_01c0549f396c4b4d95ff2a0360e22834_215_1" hidden="1">#REF!</definedName>
    <definedName name="TRNR_01c914cf32b745d1be7a65d36784d8df_432_2" hidden="1">#REF!</definedName>
    <definedName name="TRNR_01d511a2dad64586ab62e9024c88bdad_687_2" hidden="1">#REF!</definedName>
    <definedName name="TRNR_01f004decb2b4ed4bfd81c41ed2e33ba_1306_8" hidden="1">#REF!</definedName>
    <definedName name="TRNR_01f9d46e45734b33b45fdabc689632a4_146_2" hidden="1">#REF!</definedName>
    <definedName name="TRNR_0204744aaa484328b7b33699ebeb3bf6_154_2" hidden="1">#REF!</definedName>
    <definedName name="TRNR_021a1427d47c43d3a3e1fa20cb218c1f_16_1" hidden="1">#REF!</definedName>
    <definedName name="TRNR_021e3d1b17594ef1bbed44b0d75971c3_9_1" hidden="1">#REF!</definedName>
    <definedName name="TRNR_022b4c9e2ce24061abb794bd0561c178_36_1" hidden="1">#REF!</definedName>
    <definedName name="TRNR_02575175b99643eab409a7996a861149_13_1" hidden="1">#REF!</definedName>
    <definedName name="TRNR_0261420aadf946bf9516e53da06eaf37_523_5" hidden="1">#REF!</definedName>
    <definedName name="TRNR_02756fadb6db44a9b822a5a4c9f16112_13_1" hidden="1">#REF!</definedName>
    <definedName name="TRNR_029dd0c799d647a19abee646914bbbf5_117_1" hidden="1">#REF!</definedName>
    <definedName name="TRNR_02b17b086f334cd7bd6716945823eac5_3260_2" hidden="1">#REF!</definedName>
    <definedName name="TRNR_030d42751ca547af928ee90f8087e024_35_1" hidden="1">#REF!</definedName>
    <definedName name="TRNR_03318fef50e541e0b790a564b1f22be6_515_1" hidden="1">#REF!</definedName>
    <definedName name="TRNR_033f6f111f334d52a1c10695d6cbd5b9_729_2" hidden="1">#REF!</definedName>
    <definedName name="TRNR_0344adf6dd20405abac4d35bbdedb54f_133_2" hidden="1">#REF!</definedName>
    <definedName name="TRNR_0355e23e89414623a12c3ab1beecbc97_91_2" hidden="1">#REF!</definedName>
    <definedName name="TRNR_0356a84d30e04f13808689b0deb66e2b_373_2" hidden="1">#REF!</definedName>
    <definedName name="TRNR_037bc44df55f453ea2a740d41c56e4d8_13_1" hidden="1">#REF!</definedName>
    <definedName name="TRNR_0382fadb4e5544ec9def1d1d70fdde6b_623_2" hidden="1">#REF!</definedName>
    <definedName name="TRNR_0391e938228d46a0b01356fd47658066_83_8" hidden="1">#REF!</definedName>
    <definedName name="TRNR_03a86825bee244c8b794c2e5022b11e2_125_2" hidden="1">#REF!</definedName>
    <definedName name="TRNR_03ab479a172a46a0851ffd0a06782d63_6_1" hidden="1">#REF!</definedName>
    <definedName name="TRNR_03b8afb27db546e1b5295739b1ead614_31_4" hidden="1">#REF!</definedName>
    <definedName name="TRNR_03ccabffcd044111b5446098c0680fc1_115_1" hidden="1">#REF!</definedName>
    <definedName name="TRNR_03d4d3aec5cd48c5af7373b5e6057ab4_13_1" hidden="1">#REF!</definedName>
    <definedName name="TRNR_03ded7cf50924f5abe994e52f119a80e_91_1" hidden="1">#REF!</definedName>
    <definedName name="TRNR_03e0fb687bcb4642926029d4abed9f25_730_8" hidden="1">#REF!</definedName>
    <definedName name="TRNR_03e67cdfd04643f8816ce3f836eafdae_507_1" hidden="1">#REF!</definedName>
    <definedName name="TRNR_03ea3b1c642b422dbfebecb93e6a16a3_35_1" hidden="1">#REF!</definedName>
    <definedName name="TRNR_03f4e84005364dc591f0c6fd9a23ce97_232_3" hidden="1">#REF!</definedName>
    <definedName name="TRNR_043e39b6b43744fbb0325a5d6e5aab00_390_2" hidden="1">#REF!</definedName>
    <definedName name="TRNR_0460829b5dfd4379ba6433a2a6008e40_209_1" hidden="1">#REF!</definedName>
    <definedName name="TRNR_046116a376a94d51b9d3fa8d60371270_11_3" hidden="1">#REF!</definedName>
    <definedName name="TRNR_0475e3fdc4ef44f1b6f7e2763f2a397b_93_1" hidden="1">#REF!</definedName>
    <definedName name="TRNR_04ad36c12688405f8fd953d02b316c67_339_2" hidden="1">#REF!</definedName>
    <definedName name="TRNR_04b125e132e448478ee06c08c3b830ca_70_1" hidden="1">#REF!</definedName>
    <definedName name="TRNR_04b4a867f41443d3a1a507ac409a551d_14_1" hidden="1">#REF!</definedName>
    <definedName name="TRNR_04c4a95479ff49ad8e776ec14589e40b_390_3" hidden="1">#REF!</definedName>
    <definedName name="TRNR_04cbd52f1faf40d7ad42c3bc3bab9b93_339_2" hidden="1">#REF!</definedName>
    <definedName name="TRNR_04cd1f270c004a7296136d554ac8b528_119_1" hidden="1">#REF!</definedName>
    <definedName name="TRNR_04e33ed307ac4611859fe715a91fca63_232_2" hidden="1">#REF!</definedName>
    <definedName name="TRNR_0517f8eb82334a2895d98572b1a81e64_583_2" hidden="1">#REF!</definedName>
    <definedName name="TRNR_052db98d64c3487b9e4154940c4d76ef_147_2" hidden="1">#REF!</definedName>
    <definedName name="TRNR_05397011f8614679ac48e88fb79d754a_140_5" hidden="1">#REF!</definedName>
    <definedName name="TRNR_0547fcb06c8d488f8d0566083a13cc45_91_1" hidden="1">#REF!</definedName>
    <definedName name="TRNR_054de67c9fc24769a4db50e1c24b6c4c_16_1" hidden="1">#REF!</definedName>
    <definedName name="TRNR_0566633c0d1f431cb098f6a9e7792c22_391_2" hidden="1">#REF!</definedName>
    <definedName name="TRNR_0568ad7bdaab435d9ab1517f74bef91c_147_1" hidden="1">#REF!</definedName>
    <definedName name="TRNR_056b1a34355b48e0bf78c6f0aceeb567_131_2" hidden="1">#REF!</definedName>
    <definedName name="TRNR_05937759156d451eb0255573fdc63db9_131_1" hidden="1">#REF!</definedName>
    <definedName name="TRNR_05a2f18206f14bbab86e2ba202d6b71b_732_2" hidden="1">#REF!</definedName>
    <definedName name="TRNR_05a7b71c3e344abd961d9208de44120f_540_1" hidden="1">#REF!</definedName>
    <definedName name="TRNR_05b1ad8b64294b27a27a3b07e8772f16_23_4" hidden="1">#REF!</definedName>
    <definedName name="TRNR_05b76508430b4af48e4c8c41a85f96f0_127_1" hidden="1">#REF!</definedName>
    <definedName name="TRNR_05be63c16f564341afa29fcd6d700f50_567_8" hidden="1">#REF!</definedName>
    <definedName name="TRNR_05c7755187b74edaa2daf1ea4b03bd6b_417_2" hidden="1">#REF!</definedName>
    <definedName name="TRNR_05dcb46d4b8d42978ce804b8e0f57749_528_2" hidden="1">#REF!</definedName>
    <definedName name="TRNR_05f9d80b82ad4e89abfb1ef2119ccb6e_541_2" hidden="1">#REF!</definedName>
    <definedName name="TRNR_060cc747880b44e687f3d1a6e3ac9529_149_1" hidden="1">#REF!</definedName>
    <definedName name="TRNR_06120c16dd7846159d95e3ad195a7c74_454_1" hidden="1">#REF!</definedName>
    <definedName name="TRNR_0618ad4b2092430ea2b029e3618777b8_133_2" hidden="1">#REF!</definedName>
    <definedName name="TRNR_0625f4ea83cc41b0a56860d22febd76b_10_1" hidden="1">#REF!</definedName>
    <definedName name="TRNR_0632549912ca4467b4d06f1951ace128_11_2" hidden="1">#REF!</definedName>
    <definedName name="TRNR_064b874616144e2298a571ff1d9f1909_62_5" hidden="1">#REF!</definedName>
    <definedName name="TRNR_06553264503f48cc86579ab754e65d31_545_2" hidden="1">#REF!</definedName>
    <definedName name="TRNR_065aac38984844a29f76a32358503b87_11_1" hidden="1">#REF!</definedName>
    <definedName name="TRNR_068e78c2ab474fa3aaaeddc45e279d79_134_2" hidden="1">#REF!</definedName>
    <definedName name="TRNR_06946a6a4a1647ad931593128f81b7e1_474_3" hidden="1">#REF!</definedName>
    <definedName name="TRNR_06a575a9c94949c69d8172577afbc5d6_422_4" hidden="1">#REF!</definedName>
    <definedName name="TRNR_06a61624252d478792d48b1be4792e94_1_1" hidden="1">#REF!</definedName>
    <definedName name="TRNR_06b88fa03fe6405f99daea6ee65eb821_2540_2" hidden="1">#REF!</definedName>
    <definedName name="TRNR_06cb59e0133a4e10996f112cef424f27_13_1" hidden="1">#REF!</definedName>
    <definedName name="TRNR_06e91890419c4a629e0aa4c3ccf3f33c_544_2" hidden="1">#REF!</definedName>
    <definedName name="TRNR_06e97347c76a46eb949d0f3adb00183f_125_1" hidden="1">#REF!</definedName>
    <definedName name="TRNR_06f0dba82473437c84e0c4c8ac96a1a9_539_2" hidden="1">#REF!</definedName>
    <definedName name="TRNR_0703dd902e414db798da5d88bc84b075_720_2" hidden="1">#REF!</definedName>
    <definedName name="TRNR_07258907c1a343609c73f4426e4234fd_283_2" hidden="1">#REF!</definedName>
    <definedName name="TRNR_0729227e3db54247b76a8f9443a2e67e_562_3" hidden="1">#REF!</definedName>
    <definedName name="TRNR_072fb4b12eb84850a5f5b74e0f0e420f_13_1" hidden="1">#REF!</definedName>
    <definedName name="TRNR_0751880c66d847f7bf10ae1208c47342_404_2" hidden="1">#REF!</definedName>
    <definedName name="TRNR_0757f7f2108746f3908dfa7178628c79_523_2" hidden="1">#REF!</definedName>
    <definedName name="TRNR_0763cc6151e34276a4bf877ed60db87f_540_1" hidden="1">#REF!</definedName>
    <definedName name="TRNR_076f5160730c4ecfa58211df058d7806_10_1" hidden="1">#REF!</definedName>
    <definedName name="TRNR_07794c350b1d4ba99b11c589e88ccd0b_131_2" hidden="1">#REF!</definedName>
    <definedName name="TRNR_078a028b3feb41a5b9d9c3d097bc095a_216_2" hidden="1">#REF!</definedName>
    <definedName name="TRNR_07b23e7dd85f450b8669f4372fe55230_636_2" hidden="1">#REF!</definedName>
    <definedName name="TRNR_07b32f5b82774cceb5558da219097208_396_2" hidden="1">#REF!</definedName>
    <definedName name="TRNR_07d2ce2e716a4bf2aba2859e69864f93_65_5" hidden="1">#REF!</definedName>
    <definedName name="TRNR_07d9d5038d64474184bc9f35dcacdcc5_4359_2" hidden="1">#REF!</definedName>
    <definedName name="TRNR_07db940cc7264dd0b45fe23b902c140f_22_2" hidden="1">#REF!</definedName>
    <definedName name="TRNR_07e78035e8d24f2cbd4c67927b4cc726_302_3" hidden="1">#REF!</definedName>
    <definedName name="TRNR_07f23bb0f7ea4d60966a632e164c6daf_187_2" hidden="1">#REF!</definedName>
    <definedName name="TRNR_08043cec80e94a0c8257485ec1bbd6c8_13_1" hidden="1">#REF!</definedName>
    <definedName name="TRNR_080c9ae7eddc413093571e5ad99cf9eb_459_4" hidden="1">#REF!</definedName>
    <definedName name="TRNR_082b5d6cb6314bc78bc049ae1deddda5_128_1" hidden="1">#REF!</definedName>
    <definedName name="TRNR_0840953d9bb64d098303a9a01a7f71e6_9_1" hidden="1">#REF!</definedName>
    <definedName name="TRNR_084d38b1673b4693baeb2485869838ec_9_1" hidden="1">#REF!</definedName>
    <definedName name="TRNR_0857a3171d1b4c64906c87d47ff22784_386_3" hidden="1">#REF!</definedName>
    <definedName name="TRNR_08637190aa384c8b89fc8fadf70d0940_1074_2" hidden="1">#REF!</definedName>
    <definedName name="TRNR_0878ab37f208497fb948497c027fff57_723_2" hidden="1">#REF!</definedName>
    <definedName name="TRNR_087b6d1b6b31400ebb8c2a4838527f0a_297_3" hidden="1">#REF!</definedName>
    <definedName name="TRNR_08815df4ddd3438dac031538ac874362_581_2" hidden="1">#REF!</definedName>
    <definedName name="TRNR_088bbd999cb746bcb513c87283eecfea_672_8" hidden="1">#REF!</definedName>
    <definedName name="TRNR_08a162b01b0e41de85b67c683734e52c_13_1" hidden="1">#REF!</definedName>
    <definedName name="TRNR_08a2bceb9c0b47108407049910d72765_149_2" hidden="1">#REF!</definedName>
    <definedName name="TRNR_08a7d9ece7024b8d8825ddf13fcac3d9_1172_5" hidden="1">#REF!</definedName>
    <definedName name="TRNR_08abb4c8edfa4914b16177d57191ed6d_23_4" hidden="1">#REF!</definedName>
    <definedName name="TRNR_08ba11ad667c44a3b126ea087988202a_13_1" hidden="1">#REF!</definedName>
    <definedName name="TRNR_08c5df560e994c8f8515b8aa7e3b6e18_156_1" hidden="1">#REF!</definedName>
    <definedName name="TRNR_08cf4cb697bc4554ba329a6b1cf4919f_7_1" hidden="1">#REF!</definedName>
    <definedName name="TRNR_08d1d2e190304b03920a8718991ec17d_233_2" hidden="1">#REF!</definedName>
    <definedName name="TRNR_08d2088c56ff49859bebefdf02179bf0_1017_5" hidden="1">#REF!</definedName>
    <definedName name="TRNR_08e0ac8a8f3a4e679160b2809aff36d5_16_1" hidden="1">#REF!</definedName>
    <definedName name="TRNR_08e7b2a938554ae8839c347d2fc3c407_201_2" hidden="1">#REF!</definedName>
    <definedName name="TRNR_09142aeee8204999ab8b6b45807f8f3d_16_1" hidden="1">#REF!</definedName>
    <definedName name="TRNR_09264ea95ee74eb9856c75e49d85fa93_9_1" hidden="1">#REF!</definedName>
    <definedName name="TRNR_09276ac0d5b44d8aba8c9addafa12390_133_2" hidden="1">#REF!</definedName>
    <definedName name="TRNR_09619d0dc3314d16abf8388f5de0afb7_140_1" hidden="1">#REF!</definedName>
    <definedName name="TRNR_09697f9def3f47598fc62df3117c6783_142_1" hidden="1">#REF!</definedName>
    <definedName name="TRNR_097ea9eb76b34c81bd7a74f014462794_396_2" hidden="1">#REF!</definedName>
    <definedName name="TRNR_098349c038e741bbb6f7df35ff1b59b0_381_6" hidden="1">#REF!</definedName>
    <definedName name="TRNR_09b1db9590a44849af300e7ac56b1369_13_1" hidden="1">#REF!</definedName>
    <definedName name="TRNR_09d7be152e6349099ce44573cef33017_380_3" hidden="1">#REF!</definedName>
    <definedName name="TRNR_09e0c2542fd34fbf8eea53d8bca7a82e_544_2" hidden="1">#REF!</definedName>
    <definedName name="TRNR_0a208fa8cb5247fc9c9e59c4bfcf67c3_1_4" hidden="1">#REF!</definedName>
    <definedName name="TRNR_0a223bc21c0c440781b90f3899b43686_9_1" hidden="1">#REF!</definedName>
    <definedName name="TRNR_0a41568ea27846f986f5f7bf6415cc96_1052_7" hidden="1">#REF!</definedName>
    <definedName name="TRNR_0a4bf2e66a0949de85bd453bb384e889_374_3" hidden="1">#REF!</definedName>
    <definedName name="TRNR_0a4c8fe9a61b438ea0cb8675bcdb0e06_2_8" hidden="1">#REF!</definedName>
    <definedName name="TRNR_0a4df3d2b61449a1a9001be2c3f33bfe_294_5" hidden="1">#REF!</definedName>
    <definedName name="TRNR_0a57150264b74d63911381431fe4e928_370_2" hidden="1">#REF!</definedName>
    <definedName name="TRNR_0a65ccc59bde43528b30ffd357dc2aeb_496_1" hidden="1">#REF!</definedName>
    <definedName name="TRNR_0a676718cf9c4a1a8ab882b24b6a4f98_366_2" hidden="1">#REF!</definedName>
    <definedName name="TRNR_0a81742c1e07414ea4e6f52a480db022_1277_7" hidden="1">#REF!</definedName>
    <definedName name="TRNR_0a82cf9bee99452f8ab1aeb7ff9ef5f0_16_1" hidden="1">#REF!</definedName>
    <definedName name="TRNR_0a832d23032f4d389e94509c39cff6a9_149_2" hidden="1">#REF!</definedName>
    <definedName name="TRNR_0a934ad53f10434fb681690544948d9c_132_1" hidden="1">#REF!</definedName>
    <definedName name="TRNR_0a9d61b2f94c4c7aa4d8240a1840eb59_847_2" hidden="1">#REF!</definedName>
    <definedName name="TRNR_0a9efe0190cf46db9237c2ed0e3990a3_1016_8" hidden="1">#REF!</definedName>
    <definedName name="TRNR_0ab6affd6fdb4a67beeb91e0b382553b_182_2" hidden="1">#REF!</definedName>
    <definedName name="TRNR_0ae4f84e37c84e6fb3bdcc5a13fd3394_587_2" hidden="1">#REF!</definedName>
    <definedName name="TRNR_0b02ebd212ed401a854f33a04229e231_228_1" hidden="1">#REF!</definedName>
    <definedName name="TRNR_0b132af0e0d94ad985db4cd8db06ad68_561_4" hidden="1">#REF!</definedName>
    <definedName name="TRNR_0b1811b64f6c42818716fe607337bcc9_162_1" hidden="1">#REF!</definedName>
    <definedName name="TRNR_0b2df77c3844481dbe856d9c219c381a_325_3" hidden="1">#REF!</definedName>
    <definedName name="TRNR_0b404a74b31a4f7fad1dfe8104b149f2_703_1" hidden="1">#REF!</definedName>
    <definedName name="TRNR_0b57b9e4dc6a426282c2107ccbfd12d1_23_4" hidden="1">#REF!</definedName>
    <definedName name="TRNR_0b61e7d94ab443a9995c97a2ce8042a5_541_1" hidden="1">#REF!</definedName>
    <definedName name="TRNR_0b72c039eac14098b5a9b73b2b4613ce_509_1" hidden="1">#REF!</definedName>
    <definedName name="TRNR_0b9ae9c3748b4ca7920e8d5bf0aa160c_146_3" hidden="1">#REF!</definedName>
    <definedName name="TRNR_0ba01ca1f20f4dadb268fbd2fad213f6_152_4" hidden="1">#REF!</definedName>
    <definedName name="TRNR_0bab4871d2294744b1f0cb1635cf11d2_393_3" hidden="1">#REF!</definedName>
    <definedName name="TRNR_0bb7dbe9a123487b88a249e74a0ebc9a_913_7" hidden="1">#REF!</definedName>
    <definedName name="TRNR_0bd8960929734c5280214d46157ff724_275_2" hidden="1">#REF!</definedName>
    <definedName name="TRNR_0bdf020f21804ae08e6cf39610de4dbd_622_2" hidden="1">#REF!</definedName>
    <definedName name="TRNR_0bf3621dc1f244d49414870eb3726d3c_7_1" hidden="1">#REF!</definedName>
    <definedName name="TRNR_0c0f47c2a3314727b74dcdb846a09f1e_121_1" hidden="1">#REF!</definedName>
    <definedName name="TRNR_0c11d668c1bd4a0b8b9bc0f8c2e53cfb_65_4" hidden="1">#REF!</definedName>
    <definedName name="TRNR_0c11fa6304884264a65cc3cd72789b78_241_4" hidden="1">#REF!</definedName>
    <definedName name="TRNR_0c3ecf22f5b84fdb940e4e2b84562608_72_2" hidden="1">#REF!</definedName>
    <definedName name="TRNR_0c619c072fe54e709ef09a6f7f8bc7f5_370_1" hidden="1">#REF!</definedName>
    <definedName name="TRNR_0c6e99a2f1eb47dabbf9987c9afea779_1047_7" hidden="1">#REF!</definedName>
    <definedName name="TRNR_0c8fff1cb4e54cd7a2e417c6516ebc69_11_2" hidden="1">#REF!</definedName>
    <definedName name="TRNR_0c90a13642cc4ae6ad5253db9ea51cb4_122_2" hidden="1">#REF!</definedName>
    <definedName name="TRNR_0c973b893db6462b992ac906fcebabd4_287_2" hidden="1">#REF!</definedName>
    <definedName name="TRNR_0cbdbbefaa744fce84fc4ccc5b196984_370_2" hidden="1">#REF!</definedName>
    <definedName name="TRNR_0ccecf5fb8954b0ab04172700618c3b9_13_1" hidden="1">#REF!</definedName>
    <definedName name="TRNR_0cd03a54d81447c090286efb7e2fe4e2_365_3" hidden="1">#REF!</definedName>
    <definedName name="TRNR_0cee0b52aeff4c38a2c5f49b70d12daf_23_4" hidden="1">#REF!</definedName>
    <definedName name="TRNR_0d10b81fc8084bfd92fe5b0a8b110bbd_219_3" hidden="1">#REF!</definedName>
    <definedName name="TRNR_0d25e2c6868b454f95bb5cc5031ca4eb_23_4" hidden="1">#REF!</definedName>
    <definedName name="TRNR_0d53821cb56245bd8097e7de990241f4_4_2" hidden="1">#REF!</definedName>
    <definedName name="TRNR_0d580543363842b49ac5b80bf109cb97_4_1" hidden="1">#REF!</definedName>
    <definedName name="TRNR_0d5f0d4cdb454bd1a66d0349bc5d42f7_13_1" hidden="1">#REF!</definedName>
    <definedName name="TRNR_0d8da9db921e479c98c6990804589b65_149_1" hidden="1">#REF!</definedName>
    <definedName name="TRNR_0d903e73185844428004f4779eb2267d_9_1" hidden="1">#REF!</definedName>
    <definedName name="TRNR_0dc3e12e66864a37934ada921443c7b1_9_1" hidden="1">#REF!</definedName>
    <definedName name="TRNR_0dd2b4f2d17041afbc8b158437d23898_346_3" hidden="1">#REF!</definedName>
    <definedName name="TRNR_0dfc5ce3eeee4cc49bd60ce2234c7499_133_2" hidden="1">#REF!</definedName>
    <definedName name="TRNR_0e090b78d0374cf69947756d4e6ad27d_13_1" hidden="1">#REF!</definedName>
    <definedName name="TRNR_0e1587a53b3e4146b31536322ca7b45a_1046_6" hidden="1">#REF!</definedName>
    <definedName name="TRNR_0e23c67a10f04c85b5e67d57756967b4_525_2" hidden="1">#REF!</definedName>
    <definedName name="TRNR_0e41590eeb5d49dfbaede3b11ecb09ff_13_1" hidden="1">#REF!</definedName>
    <definedName name="TRNR_0e4344d06e4c46588460cdc699a7d816_283_2" hidden="1">#REF!</definedName>
    <definedName name="TRNR_0e43af3aa97e4907ae0221b5250836c3_289_2" hidden="1">#REF!</definedName>
    <definedName name="TRNR_0e499073a7f647c7adcf7537d23ea355_238_2" hidden="1">#REF!</definedName>
    <definedName name="TRNR_0e4e42f11ac344ddb6b9b7e5b4cb4da7_26_4" hidden="1">#REF!</definedName>
    <definedName name="TRNR_0e539748091749609b404182001d77e5_403_2" hidden="1">#REF!</definedName>
    <definedName name="TRNR_0e5bf47beb6a4982b00191513d24dca0_16_1" hidden="1">#REF!</definedName>
    <definedName name="TRNR_0e602d98450a47f6a9f2cb56f83f858b_315_3" hidden="1">#REF!</definedName>
    <definedName name="TRNR_0e66b368ec18451995cf085c4648bf66_6_1" hidden="1">#REF!</definedName>
    <definedName name="TRNR_0e85840842da4128930a7be685b318a3_16_1" hidden="1">#REF!</definedName>
    <definedName name="TRNR_0eacaab66c284050867c374d504f145f_641_6" hidden="1">#REF!</definedName>
    <definedName name="TRNR_0ead96608158499a84b23f6edfd1ab53_527_1" hidden="1">#REF!</definedName>
    <definedName name="TRNR_0eb44c571301474289e092ce01a28444_145_2" hidden="1">#REF!</definedName>
    <definedName name="TRNR_0ec0a8a7d9964f9980949c4f85ede2db_420_2" hidden="1">#REF!</definedName>
    <definedName name="TRNR_0ec31f84b2ae48efab0829353ba412ff_822_2" hidden="1">#REF!</definedName>
    <definedName name="TRNR_0ec50c705944443ab4df56ee85b7b399_16_1" hidden="1">#REF!</definedName>
    <definedName name="TRNR_0ec7355656994a11aebbd0b1bf81fef1_539_2" hidden="1">#REF!</definedName>
    <definedName name="TRNR_0ef6059dfe334a60a29bdc23725e0da3_391_2" hidden="1">#REF!</definedName>
    <definedName name="TRNR_0ef65a8840004808b9352ed833d694d9_423_3" hidden="1">#REF!</definedName>
    <definedName name="TRNR_0f08e8dfa68743ca9a449d39ce162234_42_1" hidden="1">#REF!</definedName>
    <definedName name="TRNR_0f15023a97b64d2088ffcad6f78944ef_153_1" hidden="1">#REF!</definedName>
    <definedName name="TRNR_0f20fff7e54940c3bc84c12dd83a01af_806_2" hidden="1">#REF!</definedName>
    <definedName name="TRNR_0f235ec7f50e4b55b6d8916cde6fd6d5_366_2" hidden="1">#REF!</definedName>
    <definedName name="TRNR_0f373eafc906468d90e1be8e3053c9a6_413_2" hidden="1">#REF!</definedName>
    <definedName name="TRNR_0f37f9ba2a04420abaa41d82707c3316_369_2" hidden="1">#REF!</definedName>
    <definedName name="TRNR_0f519acb21c241739d0ab158e8ad69a5_1141_7" hidden="1">#REF!</definedName>
    <definedName name="TRNR_0f7d446cdc7e440f885250862e5da090_14_1" hidden="1">#REF!</definedName>
    <definedName name="TRNR_0f83a34d83754617b80b0607525eccb7_13_1" hidden="1">#REF!</definedName>
    <definedName name="TRNR_0f9c4a9c30404feb90ef6a5b9340be2d_1002_8" hidden="1">#REF!</definedName>
    <definedName name="TRNR_0faaae228af9451dbc6e00db916c86f4_544_2" hidden="1">#REF!</definedName>
    <definedName name="TRNR_0fb8feee1beb47a58e8aedec8dbd6832_10_1" hidden="1">#REF!</definedName>
    <definedName name="TRNR_0fccf5123dcf476ca94953df97891479_36_3" hidden="1">#REF!</definedName>
    <definedName name="TRNR_0fd6665260024ac78804d1e2eae627e7_536_4" hidden="1">#REF!</definedName>
    <definedName name="TRNR_0fdd0b9b402d4c6b9a588a29329f883a_16_1" hidden="1">#REF!</definedName>
    <definedName name="TRNR_1000be9a697e4907b5d001ff85c1c9f0_24_2" hidden="1">#REF!</definedName>
    <definedName name="TRNR_100b75f485324a84a29d492f79a33b20_346_3" hidden="1">#REF!</definedName>
    <definedName name="TRNR_102716b3b177482791294b47ba0f665f_103_1" hidden="1">#REF!</definedName>
    <definedName name="TRNR_102c3f62982946559c368930177ce4f3_16_1" hidden="1">#REF!</definedName>
    <definedName name="TRNR_1033e6b3f4334a58b377a97dd4152c7c_75_3" hidden="1">#REF!</definedName>
    <definedName name="TRNR_10678fc833954572bd6a1cba21c7a9c5_542_2" hidden="1">#REF!</definedName>
    <definedName name="TRNR_10a2582a6ea0420cb3fb56a2ee0c24f8_134_2" hidden="1">#REF!</definedName>
    <definedName name="TRNR_10b9c570a9764240b2d93592b3de9662_316_4" hidden="1">#REF!</definedName>
    <definedName name="TRNR_10bd6bdd14fa4928a829ce720a636e69_1236_8" hidden="1">#REF!</definedName>
    <definedName name="TRNR_10d47b75a7324f79a4e642dfff827ae3_456_4" hidden="1">#REF!</definedName>
    <definedName name="TRNR_10dd805f6de24ecc8eebb4fac7896756_542_2" hidden="1">#REF!</definedName>
    <definedName name="TRNR_10e0b7399b9d477183e422263f7796e8_10_1" hidden="1">#REF!</definedName>
    <definedName name="TRNR_10f7b599e5d3427283e6dc0825a8b9d7_11_1" hidden="1">#REF!</definedName>
    <definedName name="TRNR_112845a0b117453e835c73cf4cdc6c27_233_4" hidden="1">#REF!</definedName>
    <definedName name="TRNR_1130c6ce0ebe4e1b8b05713aca7dfce9_16_1" hidden="1">#REF!</definedName>
    <definedName name="TRNR_115db0675ceb4f039d50f0a5bf50be4f_13_1" hidden="1">#REF!</definedName>
    <definedName name="TRNR_116178fd62f745a99fefc0a627664fc2_352_2" hidden="1">#REF!</definedName>
    <definedName name="TRNR_117be4d20d634579b853034ca1d916b4_241_1" hidden="1">#REF!</definedName>
    <definedName name="TRNR_11995e15c5bf4a6da5a87b8f68b21ef7_390_1" hidden="1">#REF!</definedName>
    <definedName name="TRNR_119c1f64ee5640eca7cad4e0082931ae_7_1" hidden="1">#REF!</definedName>
    <definedName name="TRNR_11a39242d0a1478485ca7ebc805b737d_1328_2" hidden="1">#REF!</definedName>
    <definedName name="TRNR_11a68f13803b4c159359743dc7c8d7cf_509_1" hidden="1">#REF!</definedName>
    <definedName name="TRNR_11b4ef3146b94a289a3c77396be8d605_285_2" hidden="1">#REF!</definedName>
    <definedName name="TRNR_11cc7796028e4678a66efff7dcf506e4_242_9" hidden="1">#REF!</definedName>
    <definedName name="TRNR_11d2e44222004316af8751a526bf7238_241_2" hidden="1">#REF!</definedName>
    <definedName name="TRNR_11d434ce1235476c9c096ac10cd81197_792_2" hidden="1">#REF!</definedName>
    <definedName name="TRNR_11fe5bd169ff48ca8b993e416af7b471_150_4" hidden="1">#REF!</definedName>
    <definedName name="TRNR_1212837d21c84acb935a7274ed7c0f10_10_1" hidden="1">#REF!</definedName>
    <definedName name="TRNR_1218a18deaf6440180093cf37b3b3e34_4697_2" hidden="1">#REF!</definedName>
    <definedName name="TRNR_121f9eb8175e4b9c812c6efa3289f998_660_3" hidden="1">#REF!</definedName>
    <definedName name="TRNR_122881969bcf49af96b8ecc9d26795a8_358_4" hidden="1">#REF!</definedName>
    <definedName name="TRNR_12314004c80941878c7dba2ec4742c5c_16_1" hidden="1">#REF!</definedName>
    <definedName name="TRNR_12354915b3cd464f97ade61d96575755_241_4" hidden="1">#REF!</definedName>
    <definedName name="TRNR_12412ecdb1f44acbbb66b35903142944_154_1" hidden="1">#REF!</definedName>
    <definedName name="TRNR_124b4b8a76f044f28fa9b1ea98ed9770_416_2" hidden="1">#REF!</definedName>
    <definedName name="TRNR_124e0824daae4142a1ee8c173785914e_9_1" hidden="1">#REF!</definedName>
    <definedName name="TRNR_1257ea5ff3f1491a89733904bd4b4127_241_4" hidden="1">#REF!</definedName>
    <definedName name="TRNR_12682d2015f049e49d2815a9a5d4dd6c_9055_1" hidden="1">#REF!</definedName>
    <definedName name="TRNR_126bdd022f654f2d9fb2597ea476c7a5_37_1" hidden="1">#REF!</definedName>
    <definedName name="TRNR_128fdd769c5f44cfb4c593eb9a0919d3_65_4" hidden="1">#REF!</definedName>
    <definedName name="TRNR_12a768beee014d6eb3c2f1d1d594c6f0_182_2" hidden="1">#REF!</definedName>
    <definedName name="TRNR_12a9ed947b1b4b9db397297a315c64d5_364_3" hidden="1">#REF!</definedName>
    <definedName name="TRNR_12c3ab62f8c14ec2bb7ae3654557c8f4_198_2" hidden="1">#REF!</definedName>
    <definedName name="TRNR_12ef7027913348eea18007cfcf88f4cf_10_1" hidden="1">#REF!</definedName>
    <definedName name="TRNR_12fcf627b36d4fde88f8dc659a5e281b_16_1" hidden="1">#REF!</definedName>
    <definedName name="TRNR_130414b8fdb04e538a595819e0f84a72_372_1" hidden="1">#REF!</definedName>
    <definedName name="TRNR_13052422a78b4384b60a428f322de4df_274_2" hidden="1">#REF!</definedName>
    <definedName name="TRNR_1309df3644f14cee95da69c5b501aaf6_16_1" hidden="1">#REF!</definedName>
    <definedName name="TRNR_130f4ddc9514412a8409eab41e5f21eb_323_2" hidden="1">#REF!</definedName>
    <definedName name="TRNR_1310e979f084464987d02cbde0dfde0d_13_1" hidden="1">#REF!</definedName>
    <definedName name="TRNR_131abb8b25cb4de6896e1e3982aef4b8_530_1" hidden="1">#REF!</definedName>
    <definedName name="TRNR_131e30df90594abb939f49401dd154b8_389_3" hidden="1">#REF!</definedName>
    <definedName name="TRNR_134f033d9fb849f7b475abab4a24e1cd_13_4" hidden="1">#REF!</definedName>
    <definedName name="TRNR_134f6eda0d8e4e7b98f6126f5a385160_16_1" hidden="1">#REF!</definedName>
    <definedName name="TRNR_135281dfd6c74c52800f4cfe5d197437_181_4" hidden="1">#REF!</definedName>
    <definedName name="TRNR_1372f6c828d147b9b07205b03623eb4a_31_4" hidden="1">#REF!</definedName>
    <definedName name="TRNR_1387e422c74643898f4566131dde78a7_591_1" hidden="1">#REF!</definedName>
    <definedName name="TRNR_1398386d176a41a69a8129f23b0acec8_237_3" hidden="1">#REF!</definedName>
    <definedName name="TRNR_13b114615b13434fac8f968cd532cc85_1037_1" hidden="1">#REF!</definedName>
    <definedName name="TRNR_13b49ab3d9674e8da850bdf4304cc37b_162_1" hidden="1">#REF!</definedName>
    <definedName name="TRNR_13be324439164a8787d0e5d7abf6e644_16_1" hidden="1">#REF!</definedName>
    <definedName name="TRNR_13c095dffabc40c384fc72d1b45510ff_13_1" hidden="1">#REF!</definedName>
    <definedName name="TRNR_13c583259c33456db470bc153559b656_6_2" hidden="1">#REF!</definedName>
    <definedName name="TRNR_13c704684d5f4b6aad8d7fe3116d161e_16_1" hidden="1">#REF!</definedName>
    <definedName name="TRNR_13c88bb606104f598f6fad580242d69b_21_2" hidden="1">#REF!</definedName>
    <definedName name="TRNR_13cdde2c195a4391bee52197b0a64d38_16_1" hidden="1">#REF!</definedName>
    <definedName name="TRNR_13e5484a381b4daca16d4acf2d2b0bec_16_1" hidden="1">#REF!</definedName>
    <definedName name="TRNR_13f7135be2e04f63957f337f1736d59f_683_2" hidden="1">#REF!</definedName>
    <definedName name="TRNR_13f75ae691514b42b97d58ea8d4ae97c_115_2" hidden="1">#REF!</definedName>
    <definedName name="TRNR_13ffa246f3614ceba7c285b130fd0348_102_1" hidden="1">#REF!</definedName>
    <definedName name="TRNR_141afb2dab324e30835dc10d03fc8bfb_587_1" hidden="1">#REF!</definedName>
    <definedName name="TRNR_14278c03dbd24d97ae0c97fb170b9474_414_3" hidden="1">#REF!</definedName>
    <definedName name="TRNR_143a822369a74261be7ebc8c73891a84_373_3" hidden="1">#REF!</definedName>
    <definedName name="TRNR_14500d28e48b43babf78c7f605be4747_692_2" hidden="1">#REF!</definedName>
    <definedName name="TRNR_1465289f62ea4885a5b2e58af9ad6079_894_7" hidden="1">#REF!</definedName>
    <definedName name="TRNR_1469777dff5c40a59504905c998788ac_543_2" hidden="1">#REF!</definedName>
    <definedName name="TRNR_14865750695d49ea89c78adcf5797dfb_222_3" hidden="1">#REF!</definedName>
    <definedName name="TRNR_149a25e0062148d683ef7b6c16a9cef0_337_3" hidden="1">#REF!</definedName>
    <definedName name="TRNR_14bbf6747f4e419292666fcc0fbe5b27_511_4" hidden="1">#REF!</definedName>
    <definedName name="TRNR_14dca2ac70964208985b358d10555335_16_1" hidden="1">#REF!</definedName>
    <definedName name="TRNR_14e0a3c9c511448da5ae0e53d66a144d_975_2" hidden="1">#REF!</definedName>
    <definedName name="TRNR_14e35b926d634f889f5a367772737452_16_1" hidden="1">#REF!</definedName>
    <definedName name="TRNR_14ebc8e4bd48406e895bc4252e6189dc_419_3" hidden="1">#REF!</definedName>
    <definedName name="TRNR_14ed1d8ba24744a288c96d22378fb58a_9_1" hidden="1">#REF!</definedName>
    <definedName name="TRNR_150a6644768f4895813f18fa69e6adc4_133_2" hidden="1">#REF!</definedName>
    <definedName name="TRNR_150f4fe25d4e427780ca651981b3ba5c_1281_8" hidden="1">#REF!</definedName>
    <definedName name="TRNR_15160fac6ffb4aa8b5300e7a0a03a973_16_1" hidden="1">#REF!</definedName>
    <definedName name="TRNR_15246f7b4d75445ea5f25a54265c84d1_387_3" hidden="1">#REF!</definedName>
    <definedName name="TRNR_153998f76f9443a4b20803b279459115_74_5" hidden="1">#REF!</definedName>
    <definedName name="TRNR_153f1790294d4fac89fab574084f896a_35_1" hidden="1">#REF!</definedName>
    <definedName name="TRNR_157341a94c6c4cc38dc77bfd4f4c1b5f_138_2" hidden="1">#REF!</definedName>
    <definedName name="TRNR_1576a651a9dd4aecbc1c185b3761495b_108_2" hidden="1">#REF!</definedName>
    <definedName name="TRNR_1576ed56f6c34cae82354c0e598218d1_13_1" hidden="1">#REF!</definedName>
    <definedName name="TRNR_1585d5a49ca14a87b5c4e3247ce5ec62_36_2" hidden="1">#REF!</definedName>
    <definedName name="TRNR_15b43e8ad9c7480da3404da783496335_728_2" hidden="1">#REF!</definedName>
    <definedName name="TRNR_15b92c6676464cc5b2eb57c45cf13adc_545_4" hidden="1">#REF!</definedName>
    <definedName name="TRNR_15c7d343cf3e4ec5bc2a64507c4ef709_261_1" hidden="1">#REF!</definedName>
    <definedName name="TRNR_15dbb0b7add64c2498e8927d9be6721e_13_1" hidden="1">#REF!</definedName>
    <definedName name="TRNR_15deb8f54e434a0982ae5c8b639d7a99_325_2" hidden="1">#REF!</definedName>
    <definedName name="TRNR_15e19f9199ad4a28ba4e0936d17ae515_711_8" hidden="1">#REF!</definedName>
    <definedName name="TRNR_15e20373c8854769b1b4fcd9bb4ac7e8_9_1" hidden="1">#REF!</definedName>
    <definedName name="TRNR_15f0ba24f77f4abdaadce4f7a4b8c7f7_133_2" hidden="1">#REF!</definedName>
    <definedName name="TRNR_16134f7fd1c5453cb5e512b4135cd249_510_1" hidden="1">#REF!</definedName>
    <definedName name="TRNR_161ac423b63f445f8246d4edb78d74fe_2439_2" hidden="1">#REF!</definedName>
    <definedName name="TRNR_161eed41b79d40ae8022c07465c37468_406_1" hidden="1">#REF!</definedName>
    <definedName name="TRNR_162bcd8f8c024224b19834dbf924a6d3_121_1" hidden="1">#REF!</definedName>
    <definedName name="TRNR_162e4e83d9cb4bbea8fa36ec699a3f8c_98_2" hidden="1">#REF!</definedName>
    <definedName name="TRNR_165439427c8747b9bb610624430985ae_23_4" hidden="1">#REF!</definedName>
    <definedName name="TRNR_165fc9e8af5a41d694ed43fe68125aff_509_1" hidden="1">#REF!</definedName>
    <definedName name="TRNR_1660cd627f1240f3a1515b33b8994821_283_8" hidden="1">#REF!</definedName>
    <definedName name="TRNR_1665b1119fc344ca8250bf22e69ef7bc_13_1" hidden="1">#REF!</definedName>
    <definedName name="TRNR_166b179b3b374a408c374eefe282bbb9_133_2" hidden="1">#REF!</definedName>
    <definedName name="TRNR_167e305925e34ebabd46a5c08b0423da_122_2" hidden="1">#REF!</definedName>
    <definedName name="TRNR_1682d1708dd44050b732613a3190840c_3_1" hidden="1">#REF!</definedName>
    <definedName name="TRNR_1689864563004b0ab89c30ea9ad5d9b8_241_4" hidden="1">#REF!</definedName>
    <definedName name="TRNR_168d2fd43acb4db1b54b8601a426a661_13_1" hidden="1">#REF!</definedName>
    <definedName name="TRNR_1699aaef9ec242acb6bf7e8b5794955b_81_1" hidden="1">#REF!</definedName>
    <definedName name="TRNR_16a63b3b97074ecd86f2dbbaeec86968_300_3" hidden="1">#REF!</definedName>
    <definedName name="TRNR_16af970fa05644019d92546423ee541e_133_2" hidden="1">#REF!</definedName>
    <definedName name="TRNR_16b0cb292afd4a0692dc541a76d2fde0_432_2" hidden="1">#REF!</definedName>
    <definedName name="TRNR_16c098d39b284d118ee1f7cec80839f4_13_1" hidden="1">#REF!</definedName>
    <definedName name="TRNR_16c6870ade484580835e900fe801e9f6_44_2" hidden="1">#REF!</definedName>
    <definedName name="TRNR_16e730fcb023495dab2562c6716356c4_472_4" hidden="1">#REF!</definedName>
    <definedName name="TRNR_16eb4a9b104c4be2a2ab14a8a34ab19a_617_2" hidden="1">#REF!</definedName>
    <definedName name="TRNR_16f362d809904cb28f26c1c149affbab_750_2" hidden="1">#REF!</definedName>
    <definedName name="TRNR_16f369d44dd14acdadfc9f09a94904d5_16_1" hidden="1">#REF!</definedName>
    <definedName name="TRNR_1702b8837e8c4a8daff8f0dbc4caa08a_130_1" hidden="1">#REF!</definedName>
    <definedName name="TRNR_170f4b2553b8401c9cf4a84862236eb0_1108_7" hidden="1">#REF!</definedName>
    <definedName name="TRNR_172a99e50b3c4c4a8afdda26e023fc44_13_1" hidden="1">#REF!</definedName>
    <definedName name="TRNR_172b6c93b5a34fc88f186b722870fb79_915_7" hidden="1">#REF!</definedName>
    <definedName name="TRNR_173a1234364941e787651aae190c047f_372_6" hidden="1">#REF!</definedName>
    <definedName name="TRNR_17426af79fb94f43bb81e91b4395cd9a_267_2" hidden="1">#REF!</definedName>
    <definedName name="TRNR_1769c9777a524eaab9c6b442cf591d8d_9_1" hidden="1">#REF!</definedName>
    <definedName name="TRNR_17755a88a42245cf87fc41bec6610c9c_563_2" hidden="1">#REF!</definedName>
    <definedName name="TRNR_1775e26e659c4e59b87ac3cce9b28fa3_94_2" hidden="1">#REF!</definedName>
    <definedName name="TRNR_177b2f869da04d91bb89156f43b1ef99_545_4" hidden="1">#REF!</definedName>
    <definedName name="TRNR_179ef12a9b344db6867f7ed30288d453_13_1" hidden="1">#REF!</definedName>
    <definedName name="TRNR_17a91191da384a6396ed3d3f31b7ad4c_133_2" hidden="1">#REF!</definedName>
    <definedName name="TRNR_17b06408db004860ba2b3e8094548ca6_134_1" hidden="1">#REF!</definedName>
    <definedName name="TRNR_17b41c977f1c4e1aafe5951593e616e9_6_2" hidden="1">#REF!</definedName>
    <definedName name="TRNR_17befb0baf894a6da0c1dd7f89bef152_641_6" hidden="1">#REF!</definedName>
    <definedName name="TRNR_17ccb00784274bbdb63f4b0010bb02bd_591_1" hidden="1">#REF!</definedName>
    <definedName name="TRNR_17d1ef57e266483ba2822d31c952fdb5_140_1" hidden="1">#REF!</definedName>
    <definedName name="TRNR_17d81bbe35ab4e9d92c66c4559cd7ea3_9816_1" hidden="1">#REF!</definedName>
    <definedName name="TRNR_17df099a9ae049b5b544482b4cc02ee5_515_1" hidden="1">#REF!</definedName>
    <definedName name="TRNR_17e36a04749d489f8eb3f282c3565914_13_1" hidden="1">#REF!</definedName>
    <definedName name="TRNR_17ff1a4ab973494ab15f330399596b5f_69_1" hidden="1">#REF!</definedName>
    <definedName name="TRNR_1806c59437b743e99617d7c556c66630_136_2" hidden="1">#REF!</definedName>
    <definedName name="TRNR_183c4b0ff9414f7590333a3f2b610e01_397_2" hidden="1">#REF!</definedName>
    <definedName name="TRNR_18687f46290546c4a328c9eefa8cf17f_91_1" hidden="1">#REF!</definedName>
    <definedName name="TRNR_187c2173bc0740a49dd7f9afde02a74b_1257_7" hidden="1">#REF!</definedName>
    <definedName name="TRNR_188986108ec14862b81d9cf5ea52815e_145_1" hidden="1">#REF!</definedName>
    <definedName name="TRNR_188a13e35f44451cb5b49151a81e5cb8_5_0" hidden="1">#REF!</definedName>
    <definedName name="TRNR_18ab86907d2e436f962ff7292d13a0bf_428_2" hidden="1">#REF!</definedName>
    <definedName name="TRNR_18cd6dce08ab45ceb61e6ee66e62140c_377_1" hidden="1">#REF!</definedName>
    <definedName name="TRNR_18db962811ea4fdb9dba923b28dc5bac_23_4" hidden="1">#REF!</definedName>
    <definedName name="TRNR_18e40092ac604ea7a0f3cf9f0bd7e7d4_360_1" hidden="1">#REF!</definedName>
    <definedName name="TRNR_18fab6631c534cc8af0da0aba7de5260_625_2" hidden="1">#REF!</definedName>
    <definedName name="TRNR_18fb39c3ae7541dab313922d5ecc4b66_523_2" hidden="1">#REF!</definedName>
    <definedName name="TRNR_18fc83ca7c1848b2b812e9bd97be6d1f_202_1" hidden="1">#REF!</definedName>
    <definedName name="TRNR_18ff5bf006b44289bc4c416a78f61ceb_11_4" hidden="1">#REF!</definedName>
    <definedName name="TRNR_19094408bbc246a1be3187d4d102c0c3_11_3" hidden="1">#REF!</definedName>
    <definedName name="TRNR_192e668728e74d44922b0ac041624385_23_4" hidden="1">#REF!</definedName>
    <definedName name="TRNR_1945d92fccee441a8958f8142bb16961_395_3" hidden="1">#REF!</definedName>
    <definedName name="TRNR_19589282d0d345fd8ba0489d9922edac_7_1" hidden="1">#REF!</definedName>
    <definedName name="TRNR_196c92932cf747bb98fea0e7cec23856_544_2" hidden="1">#REF!</definedName>
    <definedName name="TRNR_1975df8f20bb4960bbc7d7aac6a3f764_41_1" hidden="1">#REF!</definedName>
    <definedName name="TRNR_199402e09a844ce8b19adcf3be87d774_13_1" hidden="1">#REF!</definedName>
    <definedName name="TRNR_19a2e24e0c844993ba9f18d997d8900d_36_1" hidden="1">#REF!</definedName>
    <definedName name="TRNR_19c112020b074b0e90d975fc6dafbe36_926_5" hidden="1">#REF!</definedName>
    <definedName name="TRNR_19c434aa6d8b4ce29fa444e202fff031_518_1" hidden="1">#REF!</definedName>
    <definedName name="TRNR_19cd50797441413483271d77fad45e21_397_1" hidden="1">#REF!</definedName>
    <definedName name="TRNR_19eca2e0c76b4cca92dcc578ed1fc0c3_90_2" hidden="1">#REF!</definedName>
    <definedName name="TRNR_19f449c2850b4394b9d3476befe91542_267_2" hidden="1">#REF!</definedName>
    <definedName name="TRNR_19f6774a9a864f60bb33cc07fc4b7b59_23_4" hidden="1">#REF!</definedName>
    <definedName name="TRNR_1a01064e4479439eb468159f54e317ab_126_2" hidden="1">#REF!</definedName>
    <definedName name="TRNR_1a1bbd49997c48b58bf51c428328351c_144_4" hidden="1">#REF!</definedName>
    <definedName name="TRNR_1a1f16aeffaf4e83a45af15f41059cc9_134_4" hidden="1">#REF!</definedName>
    <definedName name="TRNR_1a341705e3df4e1493dd59b6a0067576_385_2" hidden="1">#REF!</definedName>
    <definedName name="TRNR_1a5ed8d3ed064aa28bb709e49096e511_23_4" hidden="1">#REF!</definedName>
    <definedName name="TRNR_1a6610ec90d948138806e3c34d5a91d8_299_5" hidden="1">#REF!</definedName>
    <definedName name="TRNR_1a6f20898bd54f8f93702805d0b74758_215_2" hidden="1">#REF!</definedName>
    <definedName name="TRNR_1a6f26de5b97438fb6efe08a82b9eb29_517_1" hidden="1">#REF!</definedName>
    <definedName name="TRNR_1a757fa7b0fe4c1e847b8a61ee8ec46f_546_5" hidden="1">#REF!</definedName>
    <definedName name="TRNR_1a7b506e0b7a403f83643f509a885657_134_2" hidden="1">#REF!</definedName>
    <definedName name="TRNR_1a874f16a4474e1f9b87fee230be0c3d_1123_8" hidden="1">#REF!</definedName>
    <definedName name="TRNR_1a8a242684004789a7ecfd6741e307b0_932_7" hidden="1">#REF!</definedName>
    <definedName name="TRNR_1aa997ef267b4fbbaaf1b78053bfa460_130_2" hidden="1">#REF!</definedName>
    <definedName name="TRNR_1aa9b76573ac45d0b82cf0bda516d81d_369_4" hidden="1">#REF!</definedName>
    <definedName name="TRNR_1aae3fbe65f3456fa54f48b4af8173ef_171_1" hidden="1">#REF!</definedName>
    <definedName name="TRNR_1ab3628bb8c249b6b75fbeef51b03c01_1041_8" hidden="1">#REF!</definedName>
    <definedName name="TRNR_1ad5631d2a08416289a4e6402f7586a2_179_2" hidden="1">#REF!</definedName>
    <definedName name="TRNR_1ad7b02760764a8da6202f08d73cebc3_98_2" hidden="1">#REF!</definedName>
    <definedName name="TRNR_1ae1844061f34d0db6e2162fec28b5fe_139_2" hidden="1">#REF!</definedName>
    <definedName name="TRNR_1ae739cd3fa742bd9cd6f1deb2e2ab25_660_6" hidden="1">#REF!</definedName>
    <definedName name="TRNR_1ae8a31a90334076a75687adf1bbb5ca_13_1" hidden="1">#REF!</definedName>
    <definedName name="TRNR_1af781fc6ec947e5a1a421fa7a4f47e8_13_1" hidden="1">#REF!</definedName>
    <definedName name="TRNR_1af8d34b466f4aaaa236d466b56fea46_319_2" hidden="1">#REF!</definedName>
    <definedName name="TRNR_1aff993b451d47fa88650f20185cb994_2_1" hidden="1">#REF!</definedName>
    <definedName name="TRNR_1b07394aec054992affa8cb83c5c682f_14_1" hidden="1">#REF!</definedName>
    <definedName name="TRNR_1b0f9de8d01c4b0f978d8f299c655460_36_2" hidden="1">#REF!</definedName>
    <definedName name="TRNR_1b1fc68546cf41069d8b14e288580ffc_165_2" hidden="1">#REF!</definedName>
    <definedName name="TRNR_1b267091faf147ee8206ef510018ba24_13_1" hidden="1">#REF!</definedName>
    <definedName name="TRNR_1b3514f020eb469b953d10e882e1b4a3_385_4" hidden="1">#REF!</definedName>
    <definedName name="TRNR_1b3b5e3046ad4ff89272ef9c5f3008f3_660_4" hidden="1">#REF!</definedName>
    <definedName name="TRNR_1b3e09d9834c476db6fd944963a396df_9_1" hidden="1">#REF!</definedName>
    <definedName name="TRNR_1b4012aef9664c6aa0fa12d6ef791fd4_121_1" hidden="1">#REF!</definedName>
    <definedName name="TRNR_1b43e25075b94ccd8744eada6e4af11e_441_4" hidden="1">#REF!</definedName>
    <definedName name="TRNR_1b524b5a84b44e98ab50846035a52ca2_146_3" hidden="1">#REF!</definedName>
    <definedName name="TRNR_1b6347b5e5ca494ca0bf5c8ab42af329_452_4" hidden="1">#REF!</definedName>
    <definedName name="TRNR_1b75c9d8d12341bca24b407df4ee44de_242_2" hidden="1">#REF!</definedName>
    <definedName name="TRNR_1b78b74be57a4cff901f42c5bb5a683a_90_3" hidden="1">#REF!</definedName>
    <definedName name="TRNR_1b7f890c41244924abd7cf305c46e9f7_294_5" hidden="1">#REF!</definedName>
    <definedName name="TRNR_1b84c8ef1fdc463b9e0622b13c963be9_420_1" hidden="1">#REF!</definedName>
    <definedName name="TRNR_1b982336f4ae4fec8f48d7300bb4f405_11_3" hidden="1">#REF!</definedName>
    <definedName name="TRNR_1b9b9bc2b29c4fbf87c8da47183408d8_384_11" hidden="1">#REF!</definedName>
    <definedName name="TRNR_1bb2e2fbb7b941dfb23bb5807c724b9a_527_1" hidden="1">#REF!</definedName>
    <definedName name="TRNR_1bb472d19930470d9522a1bc0798ffef_89_3" hidden="1">#REF!</definedName>
    <definedName name="TRNR_1bba0e74cfe846e79cd1485e28459411_532_2" hidden="1">#REF!</definedName>
    <definedName name="TRNR_1bc85c1a62a4427caf81f44bc7ce96fd_470_1" hidden="1">#REF!</definedName>
    <definedName name="TRNR_1bcea172127f4188a985ca4b09d167fa_470_1" hidden="1">#REF!</definedName>
    <definedName name="TRNR_1be145b8c76d4cf9b10e19c483348142_202_1" hidden="1">#REF!</definedName>
    <definedName name="TRNR_1be3bc60abe64cb5a90af2d17dd28b24_16_1" hidden="1">#REF!</definedName>
    <definedName name="TRNR_1becb099edac4a719690b043c0a25c80_13_1" hidden="1">#REF!</definedName>
    <definedName name="TRNR_1bed614ff6094cf7a5b03aca60e4f8db_2178_2" hidden="1">#REF!</definedName>
    <definedName name="TRNR_1c3d29f85dd74a72b484fddd9fdd4ae5_2_0" hidden="1">#REF!</definedName>
    <definedName name="TRNR_1c4628584a414b1da494d5e5c08ea688_536_2" hidden="1">#REF!</definedName>
    <definedName name="TRNR_1c5244ba1ca949ef8a0b521d44ee5172_520_1" hidden="1">#REF!</definedName>
    <definedName name="TRNR_1c55bfd55c8d4a509cb285cd8200c786_273_1" hidden="1">#REF!</definedName>
    <definedName name="TRNR_1c62874d6a2f499787a0dc4dee59455f_1_1" hidden="1">#REF!</definedName>
    <definedName name="TRNR_1c7a509e247a4983b90c8cc5202fbd27_275_2" hidden="1">#REF!</definedName>
    <definedName name="TRNR_1c846022c3714770a095799daa5c7bee_341_3" hidden="1">#REF!</definedName>
    <definedName name="TRNR_1c8e0b89867b471f88356a1b0d8a1871_1306_5" hidden="1">#REF!</definedName>
    <definedName name="TRNR_1ca5b967d8964315a2f9eb4e420912e9_120_1" hidden="1">#REF!</definedName>
    <definedName name="TRNR_1ca9170b5c7b428fab6a1b35b3fb395b_128_3" hidden="1">#REF!</definedName>
    <definedName name="TRNR_1cab9c23315d4fe5998b21a080c0cd67_266_2" hidden="1">#REF!</definedName>
    <definedName name="TRNR_1cab9d7e46a143049ac8f71a322beb63_142_2" hidden="1">#REF!</definedName>
    <definedName name="TRNR_1cad5d6abe034b71959115693ae68dfd_933_2" hidden="1">#REF!</definedName>
    <definedName name="TRNR_1cbc4099f8b3441db46cce2095871a89_44_6" hidden="1">#REF!</definedName>
    <definedName name="TRNR_1ccccdca9acb43dfad895a2f407b9135_521_1" hidden="1">#REF!</definedName>
    <definedName name="TRNR_1cee6c6c58964936a2fbc7901453875b_500_2" hidden="1">#REF!</definedName>
    <definedName name="TRNR_1cf385f5de204acf9c47527953986bfa_151_2" hidden="1">#REF!</definedName>
    <definedName name="TRNR_1cf67cb6acc34acaa18cae1486c80c69_203_2" hidden="1">#REF!</definedName>
    <definedName name="TRNR_1d072dfb8a144b7fa2da95fa5c8934f3_870_6" hidden="1">#REF!</definedName>
    <definedName name="TRNR_1d076f2e381247e29251a755f7396d3f_545_2" hidden="1">#REF!</definedName>
    <definedName name="TRNR_1d0e8fb1f64445a3b331c668d77c5468_1_0" hidden="1">#REF!</definedName>
    <definedName name="TRNR_1d1e756e8b5841099100e6680d0f56bb_311_2" hidden="1">#REF!</definedName>
    <definedName name="TRNR_1d1f44c33e564dbcae8a787fd94c85b9_10_1" hidden="1">#REF!</definedName>
    <definedName name="TRNR_1d21372cac954f41b7be75f5b4de1bda_2165_1" hidden="1">#REF!</definedName>
    <definedName name="TRNR_1d3115a06648471dafb3f581b6bc0203_426_3" hidden="1">#REF!</definedName>
    <definedName name="TRNR_1d36673467d44d12bd0bb4b51dfd61a1_378_8" hidden="1">#REF!</definedName>
    <definedName name="TRNR_1d46c6b312694d45b79b153f14f2171c_174_2" hidden="1">#REF!</definedName>
    <definedName name="TRNR_1d4bf2cb84d24e12b153617c7d72c197_241_2" hidden="1">#REF!</definedName>
    <definedName name="TRNR_1d4ef5b8a55840948d319df43801ded9_1_1" hidden="1">#REF!</definedName>
    <definedName name="TRNR_1d70d9d159ad4d4a905624fb50f27e8e_122_5" hidden="1">#REF!</definedName>
    <definedName name="TRNR_1d7cdd3bd6564835ba488fd02981628f_8_5" hidden="1">#REF!</definedName>
    <definedName name="TRNR_1d8529dbce0441518f83db97b040b337_9904_1" hidden="1">#REF!</definedName>
    <definedName name="TRNR_1d8a6e0e6c544133b695bb7b2d453140_16_1" hidden="1">#REF!</definedName>
    <definedName name="TRNR_1d8c4775c6d142f88b9c83aa32d69d96_915_6" hidden="1">#REF!</definedName>
    <definedName name="TRNR_1d98c31d97794031a8a83b5eef090d86_324_2" hidden="1">#REF!</definedName>
    <definedName name="TRNR_1da0a47e54364f88b5fd8a2e29f457d1_422_2" hidden="1">#REF!</definedName>
    <definedName name="TRNR_1db7ce4325c142869d9c24b70f19a478_241_4" hidden="1">#REF!</definedName>
    <definedName name="TRNR_1db91066374547168513e70819a9fec3_122_2" hidden="1">#REF!</definedName>
    <definedName name="TRNR_1dc50ea002d0463197a78eb9db5283d0_94_2" hidden="1">#REF!</definedName>
    <definedName name="TRNR_1def59ab35564ffba3dc7abf33c998ce_432_2" hidden="1">#REF!</definedName>
    <definedName name="TRNR_1df545bbf35e49979dd963c3021d295e_23_4" hidden="1">#REF!</definedName>
    <definedName name="TRNR_1e135d5acf32498db18e38ee07502e6b_155_2" hidden="1">#REF!</definedName>
    <definedName name="TRNR_1e188f050dc342f2ae46fd9e38a0c732_543_2" hidden="1">#REF!</definedName>
    <definedName name="TRNR_1e285493885c49ca82fe5d95248ede04_861_2" hidden="1">#REF!</definedName>
    <definedName name="TRNR_1e2ca20cd8ae448f97ad55bd5ac57526_527_1" hidden="1">#REF!</definedName>
    <definedName name="TRNR_1e351224d1fc4243b0c00df971cf54a8_365_4" hidden="1">#REF!</definedName>
    <definedName name="TRNR_1e3f385ef2f54520a06420c3456490bb_537_2" hidden="1">#REF!</definedName>
    <definedName name="TRNR_1e481e842a89441bbe5b7cf40b4b54ed_70_7" hidden="1">#REF!</definedName>
    <definedName name="TRNR_1e4f7f570b0a469b91041a3cf878b7c5_16_1" hidden="1">#REF!</definedName>
    <definedName name="TRNR_1e54a879d11f4c5f8a6866c9e4c614b9_256_2" hidden="1">#REF!</definedName>
    <definedName name="TRNR_1e5f7f92bc3b4baca7bef054606ef2b2_229_3" hidden="1">#REF!</definedName>
    <definedName name="TRNR_1e6a0f0617cc4501bbe7ec9f2af29ca4_10_1" hidden="1">#REF!</definedName>
    <definedName name="TRNR_1e6acdaf9d224f3db368f5cb68e91a08_150_3" hidden="1">#REF!</definedName>
    <definedName name="TRNR_1e7e9360d8884ab2822e68277253d4cb_624_2" hidden="1">#REF!</definedName>
    <definedName name="TRNR_1e84e6a9793f48859e9cee9ec8840b25_13_1" hidden="1">#REF!</definedName>
    <definedName name="TRNR_1eb5072e62a248fab072624b0d22ca15_262_2" hidden="1">#REF!</definedName>
    <definedName name="TRNR_1ed2d774128a44c8be6b2ead237acac7_13_1" hidden="1">#REF!</definedName>
    <definedName name="TRNR_1ed45921da2d4c988ca8e5ea3d095c27_13_1" hidden="1">#REF!</definedName>
    <definedName name="TRNR_1ed46e8fe74f4bdfb22cc026544d40e0_1_4" hidden="1">#REF!</definedName>
    <definedName name="TRNR_1ee26113ace84ffa8c30074e9f900149_35_1" hidden="1">#REF!</definedName>
    <definedName name="TRNR_1ee34ed905484ab087a5ff26f4c10553_26_1" hidden="1">#REF!</definedName>
    <definedName name="TRNR_1ef196b09d614038a9191ab6fb73aade_556_5" hidden="1">#REF!</definedName>
    <definedName name="TRNR_1ef3a602797649c194c9c00358c4ad6c_8_1" hidden="1">#REF!</definedName>
    <definedName name="TRNR_1f0474e1b98c42d7b07b2992cf4e6bcf_150_3" hidden="1">#REF!</definedName>
    <definedName name="TRNR_1f0be804ff6a4512ababbe3fd40090fa_23_3" hidden="1">#REF!</definedName>
    <definedName name="TRNR_1f11cfd1a75146599291499597df0a37_110_2" hidden="1">#REF!</definedName>
    <definedName name="TRNR_1f1ebf08105245a3b0bdf2a4dabc4a2c_163_2" hidden="1">#REF!</definedName>
    <definedName name="TRNR_1f2e9d7a9b2e42c18eb3639cc684be1a_370_2" hidden="1">#REF!</definedName>
    <definedName name="TRNR_1f342342bc0d4f359b7ad5ac088b99a2_11_1" hidden="1">#REF!</definedName>
    <definedName name="TRNR_1f3b83c402b444d8a798579db158d706_7_1" hidden="1">#REF!</definedName>
    <definedName name="TRNR_1f3f262c5a0c4c8abe3f1e644ef42d3f_163_2" hidden="1">#REF!</definedName>
    <definedName name="TRNR_1f4edca5d2be4c34a71368778f3276e7_98_1" hidden="1">#REF!</definedName>
    <definedName name="TRNR_1f585c586dc745b8bee47623aa8a4d5c_371_6" hidden="1">#REF!</definedName>
    <definedName name="TRNR_1f6e17f16c514f1b98edd478dc2e524d_227_5" hidden="1">#REF!</definedName>
    <definedName name="TRNR_1f9f76657a9b4c95bdab153daa9d1567_275_2" hidden="1">#REF!</definedName>
    <definedName name="TRNR_1fb4236c923749e79356635b55493716_359_2" hidden="1">#REF!</definedName>
    <definedName name="TRNR_1fb52cc69cf643649093cdfcf55b6b54_543_2" hidden="1">#REF!</definedName>
    <definedName name="TRNR_1fc602b72002403ca3d25babe6a7742b_270_3" hidden="1">#REF!</definedName>
    <definedName name="TRNR_1fcd306d2a63475a97dd4c5b8dfd693a_13_1" hidden="1">#REF!</definedName>
    <definedName name="TRNR_1fd7165fcff04ce4b5db4e089ad660e2_23_4" hidden="1">#REF!</definedName>
    <definedName name="TRNR_1feb865ead4e41e0bce06a439453de18_35_1" hidden="1">#REF!</definedName>
    <definedName name="TRNR_1ff52bf647284167a166479627cda007_44_2" hidden="1">#REF!</definedName>
    <definedName name="TRNR_1ff72cba89914941adfb5ee6e9aab889_579_1" hidden="1">#REF!</definedName>
    <definedName name="TRNR_20139c659f48444790738a72299476ea_421_2" hidden="1">#REF!</definedName>
    <definedName name="TRNR_2025a2e935a24a84bc5eec6f3e45fc29_91_2" hidden="1">#REF!</definedName>
    <definedName name="TRNR_202e11039bdd4be9a337b4d998b64542_527_2" hidden="1">#REF!</definedName>
    <definedName name="TRNR_203786a18c7b484db8caf7c901155bc9_374_2" hidden="1">#REF!</definedName>
    <definedName name="TRNR_204b7f20f0a34b999d9cba108b59e864_241_2" hidden="1">#REF!</definedName>
    <definedName name="TRNR_205246b5193c4484b2971a210b429351_13_1" hidden="1">#REF!</definedName>
    <definedName name="TRNR_2064b81a64034827a5c14c3363ac3d0f_561_2" hidden="1">#REF!</definedName>
    <definedName name="TRNR_2067352c3ffb451a9d5ecf5d55d37d2a_16_1" hidden="1">#REF!</definedName>
    <definedName name="TRNR_2076c87149084269b57abf9a54343e85_544_2" hidden="1">#REF!</definedName>
    <definedName name="TRNR_207f0d1646874d139d991a67729160e7_65_4" hidden="1">#REF!</definedName>
    <definedName name="TRNR_20842dca026a4894ae5926732b7bfde9_202_4" hidden="1">#REF!</definedName>
    <definedName name="TRNR_208c8e4a1f7047e29a0b0de5f8b2bad7_497_2" hidden="1">#REF!</definedName>
    <definedName name="TRNR_2093d5764a864b13a85016fa7aac056c_1152_8" hidden="1">#REF!</definedName>
    <definedName name="TRNR_209727a08a264f7dab9f9ecde98e639c_1_4" hidden="1">#REF!</definedName>
    <definedName name="TRNR_209a90c23cea4be48f7f1722e890bc31_167_4" hidden="1">#REF!</definedName>
    <definedName name="TRNR_20a5482c2425463d8ff0f92e08cf43d6_543_2" hidden="1">#REF!</definedName>
    <definedName name="TRNR_20a8ce3848dd41fa996be8cce9e10229_275_4" hidden="1">#REF!</definedName>
    <definedName name="TRNR_20add73b701f42928bc28b272db4f18d_122_2" hidden="1">#REF!</definedName>
    <definedName name="TRNR_20b11c94c5864364a095503cefcec8a3_23_3" hidden="1">#REF!</definedName>
    <definedName name="TRNR_20bf879e2f2a499b86042d8eb9a0a9cf_313_2" hidden="1">#REF!</definedName>
    <definedName name="TRNR_20c1c02657ad45bd8e5d15d435449f23_162_1" hidden="1">#REF!</definedName>
    <definedName name="TRNR_20dcceb2cc4248eaa853393e5ffcb60a_354_2" hidden="1">#REF!</definedName>
    <definedName name="TRNR_20ea0ca67aea46569c58a1fec17440c5_1_4" hidden="1">#REF!</definedName>
    <definedName name="TRNR_20fc7359744044128df79d3f21ba3891_579_2" hidden="1">#REF!</definedName>
    <definedName name="TRNR_210ea98add5241cc8376f1beb6746f7b_147_2" hidden="1">#REF!</definedName>
    <definedName name="TRNR_211f0908a7a54dfb8f2d02a0f3ec5f82_597_2" hidden="1">#REF!</definedName>
    <definedName name="TRNR_212705d052a44aaa8c981cad39cfeabc_384_2" hidden="1">#REF!</definedName>
    <definedName name="TRNR_2134b0f4d9fd4c5aa107600f0896fa14_544_2" hidden="1">#REF!</definedName>
    <definedName name="TRNR_2136a13fef444aff8222cbf131011355_312_2" hidden="1">#REF!</definedName>
    <definedName name="TRNR_21474fd7ed144278981bd1a3cba4779b_396_3" hidden="1">#REF!</definedName>
    <definedName name="TRNR_21584fcc52224454b6c81d7916dc3424_544_2" hidden="1">#REF!</definedName>
    <definedName name="TRNR_215b2ce9916145389af4076cd0a48f0e_321_3" hidden="1">#REF!</definedName>
    <definedName name="TRNR_2183c625b4a148b289c51bdb7177d197_12_2" hidden="1">#REF!</definedName>
    <definedName name="TRNR_218f0dfb6a664573b92d5472f700de17_311_2" hidden="1">#REF!</definedName>
    <definedName name="TRNR_2191f496d0eb41f5ab85b23123930c9c_392_3" hidden="1">#REF!</definedName>
    <definedName name="TRNR_21c9a09885f64cbca251af34e1bcf83d_1156_5" hidden="1">#REF!</definedName>
    <definedName name="TRNR_21cc8fc0a4a04561a482e60d44e7dc08_91_1" hidden="1">#REF!</definedName>
    <definedName name="TRNR_21d1c0cedbc2433bb46fec2de70e0e06_131_1" hidden="1">#REF!</definedName>
    <definedName name="TRNR_21d46ba4a3614798ae227556d56a36fb_133_2" hidden="1">#REF!</definedName>
    <definedName name="TRNR_21e2478cf587488986932e0c7cebd768_353_4" hidden="1">#REF!</definedName>
    <definedName name="TRNR_21e29d360e5b48688a85fb50ead41ae0_10_1" hidden="1">#REF!</definedName>
    <definedName name="TRNR_21e6048c9bb8416ebe1a259f4a5b224c_296_3" hidden="1">#REF!</definedName>
    <definedName name="TRNR_21e97f81dd9f497cb1ca672f2e631a5d_150_3" hidden="1">#REF!</definedName>
    <definedName name="TRNR_220211b22d3f46c193315e39eded5bfb_265_2" hidden="1">#REF!</definedName>
    <definedName name="TRNR_22041bb2417e4ea585482b91f422d5b3_141_1" hidden="1">#REF!</definedName>
    <definedName name="TRNR_22120cef7d724659a6b2de63d6fefa86_275_2" hidden="1">#REF!</definedName>
    <definedName name="TRNR_221406479e824d07b11c3a1d630e7512_536_3" hidden="1">#REF!</definedName>
    <definedName name="TRNR_2215360f7e044d10a695f5ead7ab22dd_389_4" hidden="1">#REF!</definedName>
    <definedName name="TRNR_222ee79e9666474d8870d187b39f0e60_146_1" hidden="1">#REF!</definedName>
    <definedName name="TRNR_2265d533f51e491994b2efea1b168317_723_2" hidden="1">#REF!</definedName>
    <definedName name="TRNR_226653baa0d3404881d6e558eb8ffe47_284_2" hidden="1">#REF!</definedName>
    <definedName name="TRNR_227d87efb7464e4a9cd1612076568015_523_2" hidden="1">#REF!</definedName>
    <definedName name="TRNR_227ff82ea8174ef38c3b935ca3e61bd5_368_4" hidden="1">#REF!</definedName>
    <definedName name="TRNR_228989c3fbd34dd28528fa6f9231a567_87_3" hidden="1">#REF!</definedName>
    <definedName name="TRNR_229afb642071459286a18c67f9f0cc07_128_1" hidden="1">#REF!</definedName>
    <definedName name="TRNR_22b472ddb49a42749d92e0cfccf3a46a_5_0" hidden="1">#REF!</definedName>
    <definedName name="TRNR_22bbba0eebcc4f1fb87f5ac0f724703e_13_1" hidden="1">#REF!</definedName>
    <definedName name="TRNR_22bfeee9d35544b6bf67dc045ebba937_10_1" hidden="1">#REF!</definedName>
    <definedName name="TRNR_22c3103dcac74120a16588d3db8d30c4_468_3" hidden="1">#REF!</definedName>
    <definedName name="TRNR_22cfa9e829f94bfa87a75c2480956214_93_1" hidden="1">#REF!</definedName>
    <definedName name="TRNR_22d072660362494eb8f7e6d521ea44c5_194_6" hidden="1">#REF!</definedName>
    <definedName name="TRNR_22d2b530a6ae4329a5c9dd4d1f2ea5d2_416_3" hidden="1">#REF!</definedName>
    <definedName name="TRNR_22d5f841f0dc4846a26565b954260577_996_8" hidden="1">#REF!</definedName>
    <definedName name="TRNR_22db2e7f56684291b9bca475a24905aa_483_3" hidden="1">#REF!</definedName>
    <definedName name="TRNR_22df6f0b9cde4214ae1edfe60c268ee0_590_1" hidden="1">#REF!</definedName>
    <definedName name="TRNR_230afc893f7645de85e851c0dc94def9_13_1" hidden="1">#REF!</definedName>
    <definedName name="TRNR_23154a38952d4342ab77ef7dd1b4fc13_729_2" hidden="1">#REF!</definedName>
    <definedName name="TRNR_231e77af29ad4f0992793ab42784b593_260_3" hidden="1">#REF!</definedName>
    <definedName name="TRNR_232850b870a44fce931a9ba29807e8ba_454_3" hidden="1">#REF!</definedName>
    <definedName name="TRNR_2345ff3633d84d2e9f778bfe84b8382a_469_1" hidden="1">#REF!</definedName>
    <definedName name="TRNR_23586f64678e4ceca8d54f112c01e443_519_2" hidden="1">#REF!</definedName>
    <definedName name="TRNR_23596312e1c043bca18f043d77a5fb49_1277_8" hidden="1">#REF!</definedName>
    <definedName name="TRNR_236741d1779448a4be10498cdb54e0f0_275_2" hidden="1">#REF!</definedName>
    <definedName name="TRNR_23694d6b5b6e44ab903a927197863dee_311_2" hidden="1">#REF!</definedName>
    <definedName name="TRNR_236ac99d84964d5d9b157a3025ad3c3a_162_2" hidden="1">#REF!</definedName>
    <definedName name="TRNR_2371cee4ff414a41a13d732f9c91e7c3_109_2" hidden="1">#REF!</definedName>
    <definedName name="TRNR_2374151d51e9410196476e95e6d2c700_275_2" hidden="1">#REF!</definedName>
    <definedName name="TRNR_238c3ef0183b4bd6a17be1daebc772f1_16_1" hidden="1">#REF!</definedName>
    <definedName name="TRNR_238e68dc1d174e9eaa66373e6c693651_303_2" hidden="1">#REF!</definedName>
    <definedName name="TRNR_2394d0a774974800893b27983b2679da_882_7" hidden="1">#REF!</definedName>
    <definedName name="TRNR_2398a76f9eb8426098b41fa996206500_163_2" hidden="1">#REF!</definedName>
    <definedName name="TRNR_23a1718e61cb4ed985e7bc89a3d07e96_1090_8" hidden="1">#REF!</definedName>
    <definedName name="TRNR_23c4c2649a1143338535d8de3337f725_9_1" hidden="1">#REF!</definedName>
    <definedName name="TRNR_23ca992988454cd7a2c4af49a3fc2ba7_584_2" hidden="1">#REF!</definedName>
    <definedName name="TRNR_23d4f2abd3c7486d8e10e22d18114608_16_1" hidden="1">#REF!</definedName>
    <definedName name="TRNR_23da1782f034409d878f04afc7d69443_420_3" hidden="1">#REF!</definedName>
    <definedName name="TRNR_23e38e362cc44fa5ae4327c119196524_16_1" hidden="1">#REF!</definedName>
    <definedName name="TRNR_23e9da8efb4845aba551ba56bc6f383a_311_2" hidden="1">#REF!</definedName>
    <definedName name="TRNR_23f7cee6c93f49f1887b91a8e70fb85d_13_1" hidden="1">#REF!</definedName>
    <definedName name="TRNR_240364b0c0a6476e972c7955cb9ad866_11_2" hidden="1">#REF!</definedName>
    <definedName name="TRNR_2412b37c696c4fd9b19c272b51c4e2bf_523_2" hidden="1">#REF!</definedName>
    <definedName name="TRNR_24208608191148d6873d258ff76975a5_376_6" hidden="1">#REF!</definedName>
    <definedName name="TRNR_242e282198664a7593409163e8aea6a0_531_2" hidden="1">#REF!</definedName>
    <definedName name="TRNR_2433c8e6a1234457a6f9de5477d9b4d5_9_1" hidden="1">#REF!</definedName>
    <definedName name="TRNR_2434efaf24554d8aac7f9b3244a18706_10_1" hidden="1">#REF!</definedName>
    <definedName name="TRNR_24350721367c45f0a2393798fee558c7_131_2" hidden="1">#REF!</definedName>
    <definedName name="TRNR_2452838dcbad4be0b430c3cd4f69ae23_1279_8" hidden="1">#REF!</definedName>
    <definedName name="TRNR_2462557057a24088bd53a6827076e129_149_9" hidden="1">#REF!</definedName>
    <definedName name="TRNR_246b3bb2003c4c7786b3e9276838fc3b_7_1" hidden="1">#REF!</definedName>
    <definedName name="TRNR_2494ca37677046fb9635698717f073c0_13_1" hidden="1">#REF!</definedName>
    <definedName name="TRNR_2498e24a97984620b5354e06d23bca04_789_7" hidden="1">#REF!</definedName>
    <definedName name="TRNR_249bf1b63c904e4ea71782b08a10adde_10_1" hidden="1">#REF!</definedName>
    <definedName name="TRNR_24a1cf61f955423b8685ad03973d8afb_545_2" hidden="1">#REF!</definedName>
    <definedName name="TRNR_24aa802f5d294764887000ee05504ac4_9055_1" hidden="1">#REF!</definedName>
    <definedName name="TRNR_24ad4a79d83741859615ff07dac275ff_144_5" hidden="1">#REF!</definedName>
    <definedName name="TRNR_24b4a846651e4fb6ba7579c691a52277_548_4" hidden="1">#REF!</definedName>
    <definedName name="TRNR_24cea63c9a8c419180c7f9d455caeb2a_13_1" hidden="1">#REF!</definedName>
    <definedName name="TRNR_24cf592aa1ab44d0843d3018d8cb7e1a_455_3" hidden="1">#REF!</definedName>
    <definedName name="TRNR_24effaaa33ee468e8832cf0e9e01bfc7_408_4" hidden="1">#REF!</definedName>
    <definedName name="TRNR_24f8ef4020c6496fa4db6f8168cf01fa_283_6" hidden="1">#REF!</definedName>
    <definedName name="TRNR_250aa535d1b9493cbc2b360363987cf8_455_2" hidden="1">#REF!</definedName>
    <definedName name="TRNR_25139fe53fdd4b05a4c51427cd578d64_275_2" hidden="1">#REF!</definedName>
    <definedName name="TRNR_252d0069224b4d0eb69450b0ca18eceb_370_4" hidden="1">#REF!</definedName>
    <definedName name="TRNR_25497aa6d8b448efaa0dcd94371de72e_562_4" hidden="1">#REF!</definedName>
    <definedName name="TRNR_254b837b0029474b97a7f4b7ea5e7c2d_24_3" hidden="1">#REF!</definedName>
    <definedName name="TRNR_254f690d64e0490d8ad7229229143d56_756_8" hidden="1">#REF!</definedName>
    <definedName name="TRNR_2553314c5ecb4096a4342c46b42c7f7c_7_1" hidden="1">#REF!</definedName>
    <definedName name="TRNR_2558f07b55f645369c8e7b4dd096a71e_1_4" hidden="1">#REF!</definedName>
    <definedName name="TRNR_25596a33499d40f387ecc8c4709f551d_1_4" hidden="1">#REF!</definedName>
    <definedName name="TRNR_256def1e89bd4da5831f91323cb8c906_275_2" hidden="1">#REF!</definedName>
    <definedName name="TRNR_258657e8d21e437ab13baeee0be277ee_13_1" hidden="1">#REF!</definedName>
    <definedName name="TRNR_25a4cae377cf4f6ca70c514186106712_216_2" hidden="1">#REF!</definedName>
    <definedName name="TRNR_25a8007d5bd54b4bb68e97aa7ccd50f0_260_2" hidden="1">#REF!</definedName>
    <definedName name="TRNR_25a87ac3e168426a929626389e061b42_499_4" hidden="1">#REF!</definedName>
    <definedName name="TRNR_25afa697bb4d4f78b9808ac3f6145a66_37_1" hidden="1">#REF!</definedName>
    <definedName name="TRNR_25b12f17b5ee431db7e6387315f54b67_8_2" hidden="1">#REF!</definedName>
    <definedName name="TRNR_25b8af74721d470490d9ea95592374f8_24_3" hidden="1">#REF!</definedName>
    <definedName name="TRNR_25c903293dd14563bbe66833ea104262_9_1" hidden="1">#REF!</definedName>
    <definedName name="TRNR_25cebb4c769c4954aa6a65620346b9b3_425_3" hidden="1">#REF!</definedName>
    <definedName name="TRNR_25d6fa11b88c4238b08823c975d2387a_492_2" hidden="1">#REF!</definedName>
    <definedName name="TRNR_25dc99fb5c3846159dc6c5313f02b914_267_2" hidden="1">#REF!</definedName>
    <definedName name="TRNR_25e131b987554cf7b9a5f7355b5a8569_23_4" hidden="1">#REF!</definedName>
    <definedName name="TRNR_260dae01575a4d979fc4c987cd8c0746_1_4" hidden="1">#REF!</definedName>
    <definedName name="TRNR_26146d8109644baf9f351b79d52b1322_4934_2" hidden="1">#REF!</definedName>
    <definedName name="TRNR_2624a6b282e04a7a83640c4d9939dc74_408_3" hidden="1">#REF!</definedName>
    <definedName name="TRNR_263371c0c1484f038723a7b567c001e3_45_3" hidden="1">#REF!</definedName>
    <definedName name="TRNR_264463f2187d4edb9e1ac8f074d66dec_4981_6" hidden="1">#REF!</definedName>
    <definedName name="TRNR_26491c1813fc424b925a7932ddbb638d_354_2" hidden="1">#REF!</definedName>
    <definedName name="TRNR_26562d0c848348c19223e5fb0213eabb_412_3" hidden="1">#REF!</definedName>
    <definedName name="TRNR_26585d3214774eb39e8dd2463839516c_16_1" hidden="1">#REF!</definedName>
    <definedName name="TRNR_26667d5393134b32aca2ddd866559273_3627_2" hidden="1">#REF!</definedName>
    <definedName name="TRNR_26687e803c1147c896c8d67fd37a0fb2_13_1" hidden="1">#REF!</definedName>
    <definedName name="TRNR_2668c8c1e1404959ad10163b4ddbb8b1_138_2" hidden="1">#REF!</definedName>
    <definedName name="TRNR_2669250ede5f4106af331d5403b20191_604_5" hidden="1">#REF!</definedName>
    <definedName name="TRNR_2678deecf4bd4d4e949825f1041ea0cf_204_1" hidden="1">#REF!</definedName>
    <definedName name="TRNR_267e18cb159c45f8aa5c1a8652d0c4c8_23_4" hidden="1">#REF!</definedName>
    <definedName name="TRNR_267ec25ad7b64655abd814f7dd117c50_23_19" hidden="1">#REF!</definedName>
    <definedName name="TRNR_26998fb4233a4fcba574bc832a2aed77_94_1" hidden="1">#REF!</definedName>
    <definedName name="TRNR_26a1624d161847c9b3dc9ea6a049c2d6_153_2" hidden="1">#REF!</definedName>
    <definedName name="TRNR_26aeaeb084fd4eca9b2c52336e353304_13_1" hidden="1">#REF!</definedName>
    <definedName name="TRNR_26c16126693e48d8b9bee351843a0f2d_18_1" hidden="1">#REF!</definedName>
    <definedName name="TRNR_26c83b787b3646fca562393407588d64_16_1" hidden="1">#REF!</definedName>
    <definedName name="TRNR_26dae57869384c77a302a7a8d7ae743a_13_1" hidden="1">#REF!</definedName>
    <definedName name="TRNR_26ddf10dd11046f3bcbe69d703afb788_10_1" hidden="1">#REF!</definedName>
    <definedName name="TRNR_26edaa824b804ede9920540d78ccda94_372_2" hidden="1">#REF!</definedName>
    <definedName name="TRNR_26ee2219389e4c01ad5ca72019625c7f_536_2" hidden="1">#REF!</definedName>
    <definedName name="TRNR_26f45d3299804f4da5ee4d4612af6a74_16_1" hidden="1">#REF!</definedName>
    <definedName name="TRNR_27060dd5d59f4e36940f6568b58a9fc1_133_2" hidden="1">#REF!</definedName>
    <definedName name="TRNR_270f490221914de19bbab9cc17577d82_36_1" hidden="1">#REF!</definedName>
    <definedName name="TRNR_271cf70c7d654abc8e40a54677b522cc_216_2" hidden="1">#REF!</definedName>
    <definedName name="TRNR_2737704580fc44b897167a31c9ec4916_1999_3" hidden="1">#REF!</definedName>
    <definedName name="TRNR_273b908eee5a47df87dd0cacfa25e83d_312_2" hidden="1">#REF!</definedName>
    <definedName name="TRNR_274b190e639a4e49a452ce68c78103e7_94_1" hidden="1">#REF!</definedName>
    <definedName name="TRNR_2767e145cd5d4d27bf5f723b75998818_715_2" hidden="1">#REF!</definedName>
    <definedName name="TRNR_2793dc26fa404a138077960815d8a265_588_2" hidden="1">#REF!</definedName>
    <definedName name="TRNR_279997008caa47ec82c80b7cd428a51d_130_1" hidden="1">#REF!</definedName>
    <definedName name="TRNR_27a9636097a44b60a98abddb775e0232_16_1" hidden="1">#REF!</definedName>
    <definedName name="TRNR_27b5607943544dfeaa72814864f615a7_44_2" hidden="1">#REF!</definedName>
    <definedName name="TRNR_27b7214582724c19b5f3358f858a826f_1_4" hidden="1">#REF!</definedName>
    <definedName name="TRNR_27ba426b4be442939495066d0571d379_153_2" hidden="1">#REF!</definedName>
    <definedName name="TRNR_27d271d6158f47399e987b00b337577d_16_1" hidden="1">#REF!</definedName>
    <definedName name="TRNR_27ee983dbbcb42ce9668e447a5baf113_853_5" hidden="1">#REF!</definedName>
    <definedName name="TRNR_27f58dd0d118490490682d2c70318851_13_1" hidden="1">#REF!</definedName>
    <definedName name="TRNR_27f5f46c1c2e4672b88e13884a44d23d_304_5" hidden="1">#REF!</definedName>
    <definedName name="TRNR_280076e9d2f5461fb74ecbf859305cba_536_3" hidden="1">#REF!</definedName>
    <definedName name="TRNR_28148b35f6f64a08ac6ca6763e1fe03c_134_3" hidden="1">#REF!</definedName>
    <definedName name="TRNR_282ca7ab5908431f849082e277d06b28_122_9" hidden="1">#REF!</definedName>
    <definedName name="TRNR_2830ce2bcb2a403db07cacb8666b8166_509_2" hidden="1">#REF!</definedName>
    <definedName name="TRNR_2835b6f6ad5041948eaac222439a9fee_242_1" hidden="1">#REF!</definedName>
    <definedName name="TRNR_283acc6497804e829b695f6cc4f3f694_420_3" hidden="1">#REF!</definedName>
    <definedName name="TRNR_28622ffb4501401b984eaaddb4041a65_48_1" hidden="1">#REF!</definedName>
    <definedName name="TRNR_2869c1c705c64b1f89a6b43784d6609c_891_8" hidden="1">#REF!</definedName>
    <definedName name="TRNR_2871f80c328d44ac911cbd81f21502a8_16_1" hidden="1">#REF!</definedName>
    <definedName name="TRNR_2885134ea4b046ab95e025795338dbfe_204_2" hidden="1">#REF!</definedName>
    <definedName name="TRNR_2891e898a8474a9eb17355f89cd82ce0_136_1" hidden="1">#REF!</definedName>
    <definedName name="TRNR_2896316e9ee749f08e867f149fc7ffc7_138_2" hidden="1">#REF!</definedName>
    <definedName name="TRNR_289960966e954b8ea02926cba393ccef_642_2" hidden="1">#REF!</definedName>
    <definedName name="TRNR_289c79a0a5784630a4e8ab5f7418c3cc_504_1" hidden="1">#REF!</definedName>
    <definedName name="TRNR_28a087c5ec464533b9bb2813d731b65e_542_1" hidden="1">#REF!</definedName>
    <definedName name="TRNR_28aa36aa67314f82a0441a4550d7b170_1347_3" hidden="1">#REF!</definedName>
    <definedName name="TRNR_28ac373a916a4ce8bed1adf6cad95270_1090_7" hidden="1">#REF!</definedName>
    <definedName name="TRNR_28b2b6652c8d4c47b0c64b615f0cabd6_640_2" hidden="1">#REF!</definedName>
    <definedName name="TRNR_28d6168cdc294736b62540d5a4c86981_385_3" hidden="1">#REF!</definedName>
    <definedName name="TRNR_28fb411d694c47ef9cfc2184f9cbfd4f_35_1" hidden="1">#REF!</definedName>
    <definedName name="TRNR_2906e79e04b2415a9bb85c0661db7ba7_289_2" hidden="1">#REF!</definedName>
    <definedName name="TRNR_290782329ba447b2ad422c536c90218f_313_2" hidden="1">#REF!</definedName>
    <definedName name="TRNR_2907dc3573b94eefaf70c247e9fae77e_146_1" hidden="1">#REF!</definedName>
    <definedName name="TRNR_290b5310206140cea215c1bc6928d28e_275_2" hidden="1">#REF!</definedName>
    <definedName name="TRNR_290be120b802462aa228583f0c6af4b8_204_2" hidden="1">#REF!</definedName>
    <definedName name="TRNR_290f4f583d82435d9d355c366e3ca3f7_241_4" hidden="1">#REF!</definedName>
    <definedName name="TRNR_291560c76010453aa4fdc08d7f5a4b9e_482_4" hidden="1">#REF!</definedName>
    <definedName name="TRNR_2938117bf59641c694e82b2d2c0b7a67_122_2" hidden="1">#REF!</definedName>
    <definedName name="TRNR_29485bc749c84812ae174730ab387d54_94_1" hidden="1">#REF!</definedName>
    <definedName name="TRNR_29512a53d86c4a6aa8aa495d0bd8fc32_10_1" hidden="1">#REF!</definedName>
    <definedName name="TRNR_295dbc48c2e440ada301b564ad17186f_7_20" hidden="1">#REF!</definedName>
    <definedName name="TRNR_296e1676ed074e5cb95a60310f3da9a4_691_2" hidden="1">#REF!</definedName>
    <definedName name="TRNR_297f9f96d55d48ccabb337091312a2f7_4_3" hidden="1">#REF!</definedName>
    <definedName name="TRNR_29822f8360b6473a9fe2e897a3e3003d_365_2" hidden="1">#REF!</definedName>
    <definedName name="TRNR_298f7ee9895d4c8bb56c6255c8389271_14_1" hidden="1">#REF!</definedName>
    <definedName name="TRNR_299d08f4cd0141c78cf63be2ecdafdf0_9_1" hidden="1">#REF!</definedName>
    <definedName name="TRNR_29ad74399a9744a4bf95448d1d83bd08_69_5" hidden="1">#REF!</definedName>
    <definedName name="TRNR_29bc6d91875b4b618f7c583de6fb46d3_539_2" hidden="1">#REF!</definedName>
    <definedName name="TRNR_29ce90f41f4148d383058a98f89fe9b1_58_1" hidden="1">#REF!</definedName>
    <definedName name="TRNR_29da0c4b7ba64624a740dfb6bc479101_122_2" hidden="1">#REF!</definedName>
    <definedName name="TRNR_29f3a7877fd44b21aa8f8c2825c914ae_16_1" hidden="1">#REF!</definedName>
    <definedName name="TRNR_2a02781f5623445db1df9c279ac112ce_193_2" hidden="1">#REF!</definedName>
    <definedName name="TRNR_2a145b2ca34c4efb8d8cdcab717710de_178_2" hidden="1">#REF!</definedName>
    <definedName name="TRNR_2a1773d999cb4bef83ea1d6fb780b1dd_144_5" hidden="1">#REF!</definedName>
    <definedName name="TRNR_2a21808b76cf4ce1a0c2fcd9f7752973_165_3" hidden="1">#REF!</definedName>
    <definedName name="TRNR_2a34237494614d2c9ebd2885549f7c32_150_4" hidden="1">#REF!</definedName>
    <definedName name="TRNR_2a387c5043e14c4687fda25319f9f35e_390_4" hidden="1">#REF!</definedName>
    <definedName name="TRNR_2a450f373752443b88cd09683640b3e7_376_3" hidden="1">#REF!</definedName>
    <definedName name="TRNR_2a4f754167374652a94ce9569d305d53_16_1" hidden="1">#REF!</definedName>
    <definedName name="TRNR_2a64c8ea188c4182a2f1617bd5a9a0b1_568_2" hidden="1">#REF!</definedName>
    <definedName name="TRNR_2a7610d90c5e4485848f0705b6769051_381_1" hidden="1">#REF!</definedName>
    <definedName name="TRNR_2aa8370573c14c75930a0ba165edbf28_471_1" hidden="1">#REF!</definedName>
    <definedName name="TRNR_2aa8eafb8e314012a74f3f6a8550fca9_1_1" hidden="1">#REF!</definedName>
    <definedName name="TRNR_2ab818a3514a4d768f67df8ab9f92dfa_475_4" hidden="1">#REF!</definedName>
    <definedName name="TRNR_2ab9e67dc36e48bdba9aa24705638095_23_4" hidden="1">#REF!</definedName>
    <definedName name="TRNR_2acebe2054f84a64a01d8100ccba8961_292_3" hidden="1">#REF!</definedName>
    <definedName name="TRNR_2acfc524d6b94683a944ac3c2d4a9947_464_2" hidden="1">#REF!</definedName>
    <definedName name="TRNR_2ad863d063c24fbbb2b6951c857e0ac6_313_2" hidden="1">#REF!</definedName>
    <definedName name="TRNR_2ad8666ea423499f8c310491b935c873_129_1" hidden="1">#REF!</definedName>
    <definedName name="TRNR_2aef5564eaf3479f800fd74f923f2cae_1_3" hidden="1">#REF!</definedName>
    <definedName name="TRNR_2af3173deed144b9b44930f15bd38ffd_7_1" hidden="1">#REF!</definedName>
    <definedName name="TRNR_2af45c7d4a3c4e72bdbf873a14e80fb1_158_2" hidden="1">#REF!</definedName>
    <definedName name="TRNR_2af818603cfc484dbe8056b811ed81bf_9_1" hidden="1">#REF!</definedName>
    <definedName name="TRNR_2af8b3b071994b5b97796a38ec6f8eaf_22_3" hidden="1">#REF!</definedName>
    <definedName name="TRNR_2afe199f62ae40329a8d3abceb5329e0_668_2" hidden="1">#REF!</definedName>
    <definedName name="TRNR_2b09791b08994d4e9a750f653d21a2f8_133_2" hidden="1">#REF!</definedName>
    <definedName name="TRNR_2b0abe8b92b0466aab56dce924e55129_310_2" hidden="1">#REF!</definedName>
    <definedName name="TRNR_2b1626b4e3584feab889f73536fa755c_311_4" hidden="1">#REF!</definedName>
    <definedName name="TRNR_2b2608ccc4c44e519a087f64c835eabd_942_7" hidden="1">#REF!</definedName>
    <definedName name="TRNR_2b40a61bd4f04d4a941acf640a8af1db_23_3" hidden="1">#REF!</definedName>
    <definedName name="TRNR_2b43ca4184da4963bbd4ff83fbe584fb_13_1" hidden="1">#REF!</definedName>
    <definedName name="TRNR_2b4556c5e95646bdb732b679cab75ccb_412_2" hidden="1">#REF!</definedName>
    <definedName name="TRNR_2b48e55598db46cea821dc0a0515bb7b_397_2" hidden="1">#REF!</definedName>
    <definedName name="TRNR_2b4c4ff4311b4c9d884877698727c721_275_2" hidden="1">#REF!</definedName>
    <definedName name="TRNR_2b54648dc8124e5c9bd268874a6a8b68_119_2" hidden="1">#REF!</definedName>
    <definedName name="TRNR_2b558a5431dd42968edbc5c0b2a01785_13_1" hidden="1">#REF!</definedName>
    <definedName name="TRNR_2b600376801844158bafa9393b83af51_311_2" hidden="1">#REF!</definedName>
    <definedName name="TRNR_2b7763d561a54d67886ef14cf045cb59_1007_2" hidden="1">#REF!</definedName>
    <definedName name="TRNR_2b84430aa09245fcb55ae9d13f0d1104_539_2" hidden="1">#REF!</definedName>
    <definedName name="TRNR_2b95f108a06c4b7bbc022f418e9f4f00_65_4" hidden="1">#REF!</definedName>
    <definedName name="TRNR_2ba0be1b1e1e417dbd681a61800bd3b5_73_1" hidden="1">#REF!</definedName>
    <definedName name="TRNR_2ba332c1efb0415da042a1147a8e3cd8_552_4" hidden="1">#REF!</definedName>
    <definedName name="TRNR_2bb385b90cdd4a389ed0ad7b5c448b03_552_4" hidden="1">#REF!</definedName>
    <definedName name="TRNR_2bb4292c6d0948a480e4d605217ac195_23_4" hidden="1">#REF!</definedName>
    <definedName name="TRNR_2bc16e9e68c148d897bba86ca14bd64a_638_2" hidden="1">#REF!</definedName>
    <definedName name="TRNR_2bc6ee1401de4b42823136da3ab20982_575_2" hidden="1">#REF!</definedName>
    <definedName name="TRNR_2bc6ee8e63d94cec9e71edc696e179c1_4_3" hidden="1">#REF!</definedName>
    <definedName name="TRNR_2bca2a4b885447039c0dca8ec4a96c64_751_2" hidden="1">#REF!</definedName>
    <definedName name="TRNR_2bfc47598f7942e6a7864f43ab313370_736_5" hidden="1">#REF!</definedName>
    <definedName name="TRNR_2bfc4a3299dc466e8b78768ad6291f4f_11_2" hidden="1">#REF!</definedName>
    <definedName name="TRNR_2c058a9821a54daebf83fa478c19bbd8_551_4" hidden="1">#REF!</definedName>
    <definedName name="TRNR_2c095d3af4804334afdd5ab509d72cca_223_3" hidden="1">#REF!</definedName>
    <definedName name="TRNR_2c0febe844e74a5fa0cd04a3cfabc42a_238_2" hidden="1">#REF!</definedName>
    <definedName name="TRNR_2c26a05e4bb244e6af23a46026f3d643_13_1" hidden="1">#REF!</definedName>
    <definedName name="TRNR_2c3013957fd14bcdb31f146f87011e1e_660_4" hidden="1">#REF!</definedName>
    <definedName name="TRNR_2c39f955b32f43b4ab133f9246a4e615_209_1" hidden="1">#REF!</definedName>
    <definedName name="TRNR_2c4370a887034b6c8486fe16db01906e_132_2" hidden="1">#REF!</definedName>
    <definedName name="TRNR_2c57c539962b4cb1821a9d93957710e3_4505_1" hidden="1">#REF!</definedName>
    <definedName name="TRNR_2c782712897946c4887d1971aaa81748_16_1" hidden="1">#REF!</definedName>
    <definedName name="TRNR_2c7c34d9f7894aabb636a40e91c53823_9_1" hidden="1">#REF!</definedName>
    <definedName name="TRNR_2ca7bff8e3194eaea0cd423c4cf75b10_416_3" hidden="1">#REF!</definedName>
    <definedName name="TRNR_2cb7297258e5435d97a030e8e3d264f4_397_1" hidden="1">#REF!</definedName>
    <definedName name="TRNR_2ce7c3ab762746e981f64d331a568c46_211_5" hidden="1">#REF!</definedName>
    <definedName name="TRNR_2cf07e5c52bf45d6b4d19a8132293472_153_1" hidden="1">#REF!</definedName>
    <definedName name="TRNR_2cf49adfb1244244ab103bc835324500_1_4" hidden="1">#REF!</definedName>
    <definedName name="TRNR_2d03f937a30c4a8b914fd3d2ac2edee2_681_2" hidden="1">#REF!</definedName>
    <definedName name="TRNR_2d269887a2fd461cb2a4a23dd84aec7f_8_1" hidden="1">#REF!</definedName>
    <definedName name="TRNR_2d5aa6c0bbd347a9946a1080848d9dc1_595_2" hidden="1">#REF!</definedName>
    <definedName name="TRNR_2d603a3cf92e49cabb25531471a73d10_468_2" hidden="1">#REF!</definedName>
    <definedName name="TRNR_2d6ac62d52a248cebc86f3a114120e05_78_1" hidden="1">#REF!</definedName>
    <definedName name="TRNR_2d6e4469b44249ef8e9f01217a1776f8_977_7" hidden="1">#REF!</definedName>
    <definedName name="TRNR_2d8697f7102b4a8c8b312897667fc6dd_560_2" hidden="1">#REF!</definedName>
    <definedName name="TRNR_2d95b51b0ae545c0a66738fd94624b58_13_1" hidden="1">#REF!</definedName>
    <definedName name="TRNR_2db853525935430a893fa7e0f447052c_9_1" hidden="1">#REF!</definedName>
    <definedName name="TRNR_2dc11c2502c74075ada090f497fc8800_4_1" hidden="1">#REF!</definedName>
    <definedName name="TRNR_2dd01dc4f5604eb98b5e72c04f92bc7c_154_3" hidden="1">#REF!</definedName>
    <definedName name="TRNR_2dfa58a564074cc9aad880c272569755_365_2" hidden="1">#REF!</definedName>
    <definedName name="TRNR_2dfa8733868f4efa93dd8a74731c8d73_162_1" hidden="1">#REF!</definedName>
    <definedName name="TRNR_2e09d4da54f74281a0dbc8b9ad8f411f_5_0" hidden="1">#REF!</definedName>
    <definedName name="TRNR_2e21230fbc6f440ba45596ec0bfc81ad_13_1" hidden="1">#REF!</definedName>
    <definedName name="TRNR_2e2a4598703a4e4cba9a58e5c2b0d281_591_5" hidden="1">#REF!</definedName>
    <definedName name="TRNR_2e2a8f7cdcb942eea61bbd0c654baad7_715_5" hidden="1">#REF!</definedName>
    <definedName name="TRNR_2e427fd2d2ab4b2093d19e274a690c9e_23_4" hidden="1">#REF!</definedName>
    <definedName name="TRNR_2e52e9c628234308bb7a3e2ed3fca2e2_275_2" hidden="1">#REF!</definedName>
    <definedName name="TRNR_2e6d587f57e349a5a9527e79cac11268_10_1" hidden="1">#REF!</definedName>
    <definedName name="TRNR_2e76de2def0947dc8ecc3dfdc42a74d3_23_4" hidden="1">#REF!</definedName>
    <definedName name="TRNR_2e84a5624802433f91c95bd8a4525b02_13_1" hidden="1">#REF!</definedName>
    <definedName name="TRNR_2e88c9e731c54d728ab41c3e6ef6c230_464_2" hidden="1">#REF!</definedName>
    <definedName name="TRNR_2ea696cd83f74539a7e505765fe6ee58_11_3" hidden="1">#REF!</definedName>
    <definedName name="TRNR_2eadef09be56410cba8f6fe1e9475027_23_4" hidden="1">#REF!</definedName>
    <definedName name="TRNR_2eaf7db48752413a96ce7396a29640a7_246_3" hidden="1">#REF!</definedName>
    <definedName name="TRNR_2ee27c95bb5c4529b65b9f58d6dfc53c_13_1" hidden="1">#REF!</definedName>
    <definedName name="TRNR_2ef574081828409999bce211a625b60a_294_6" hidden="1">#REF!</definedName>
    <definedName name="TRNR_2f07fa636b0344edba749531409cb899_121_2" hidden="1">#REF!</definedName>
    <definedName name="TRNR_2f1ecb92233e483282c70192148a0770_269_3" hidden="1">#REF!</definedName>
    <definedName name="TRNR_2f23c68340d74c91a58520d442bee710_543_1" hidden="1">#REF!</definedName>
    <definedName name="TRNR_2f3fe05551484cdf8ca4eb9e59dcb45a_13_1" hidden="1">#REF!</definedName>
    <definedName name="TRNR_2f40a1de4d59406c9e43557d26079cea_124_2" hidden="1">#REF!</definedName>
    <definedName name="TRNR_2f452da8242d48838a59245a30692c96_250_2" hidden="1">#REF!</definedName>
    <definedName name="TRNR_2f47d2caf0394878acfdbd7c2c28a260_535_1" hidden="1">#REF!</definedName>
    <definedName name="TRNR_2f4c2786d7a84887b23cba526010e5e0_390_4" hidden="1">#REF!</definedName>
    <definedName name="TRNR_2f65fd0370b545699222ba025740dc6d_911_8" hidden="1">#REF!</definedName>
    <definedName name="TRNR_2f7dd6fcbe934c0da44ed0e0812cc174_1197_8" hidden="1">#REF!</definedName>
    <definedName name="TRNR_2f803344e7fd4b4a8b46a4c31232a172_5950_1" hidden="1">#REF!</definedName>
    <definedName name="TRNR_2f90dcdbbf4646a6826eb9b73b98d3f1_455_4" hidden="1">#REF!</definedName>
    <definedName name="TRNR_2f939986d95f43af85afc0e8058c86f1_3327_2" hidden="1">#REF!</definedName>
    <definedName name="TRNR_2f9506d08c8f4fd097d4eba4c97a7341_23_3" hidden="1">#REF!</definedName>
    <definedName name="TRNR_2f95f04ab6124c578ef55182a93fc3cb_9_1" hidden="1">#REF!</definedName>
    <definedName name="TRNR_2f9a0abe1f814201b3e262e5972a55e9_150_2" hidden="1">#REF!</definedName>
    <definedName name="TRNR_2fa2cdc42ab4478198f3924e8afb5076_181_1" hidden="1">#REF!</definedName>
    <definedName name="TRNR_2fa7a3c505fe445fb04b6f45f82b5fb4_133_2" hidden="1">#REF!</definedName>
    <definedName name="TRNR_2fb749086a1f44288ee14e18c0db2be3_23_4" hidden="1">#REF!</definedName>
    <definedName name="TRNR_2fbf3155020542bfb8bcbd01c7fa67c9_325_2" hidden="1">#REF!</definedName>
    <definedName name="TRNR_2fd6b88d5eb74cdbb4e3836c157cebbf_9_1" hidden="1">#REF!</definedName>
    <definedName name="TRNR_2fe8ee85d4114cdf8dfa5d14e70516b5_133_2" hidden="1">#REF!</definedName>
    <definedName name="TRNR_2fe9934c574441ceb9a65b571972abad_13_1" hidden="1">#REF!</definedName>
    <definedName name="TRNR_2fece6731c6e4ed48dd3a7488cbc8ea1_321_2" hidden="1">#REF!</definedName>
    <definedName name="TRNR_3000f932dfc044b0917da0bd44c25bdf_120_2" hidden="1">#REF!</definedName>
    <definedName name="TRNR_30166ae46c094ed08724bf63e6e29197_337_2" hidden="1">#REF!</definedName>
    <definedName name="TRNR_301733ec7c5f436292e8c9f7bf2e31d3_10_1" hidden="1">#REF!</definedName>
    <definedName name="TRNR_30270ac6b0ae438b9f560bb79ed3d903_142_2" hidden="1">#REF!</definedName>
    <definedName name="TRNR_302db532280b4f4e99ff224489acc66c_25_3" hidden="1">#REF!</definedName>
    <definedName name="TRNR_303542c5cd964c6894d7a0af02f564f3_416_4" hidden="1">#REF!</definedName>
    <definedName name="TRNR_30582bea3eea4671af3d39fbcc145de0_312_4" hidden="1">#REF!</definedName>
    <definedName name="TRNR_306553327a0843afa5de3e19d9bad18e_153_3" hidden="1">#REF!</definedName>
    <definedName name="TRNR_307c9e578c0b4f5bb3e5cf0a5217c526_368_2" hidden="1">#REF!</definedName>
    <definedName name="TRNR_30850241c84c427e87871c6e19696a82_956_7" hidden="1">#REF!</definedName>
    <definedName name="TRNR_3088a35957814cb99513d6492912e759_267_2" hidden="1">#REF!</definedName>
    <definedName name="TRNR_308d330a7a874cefae3354dd0d86d41f_630_2" hidden="1">#REF!</definedName>
    <definedName name="TRNR_3096779fa778400abc81a33a3c86c4ac_16_1" hidden="1">#REF!</definedName>
    <definedName name="TRNR_309cdcf8a6a844ebbf0f6434d18a9a86_479_3" hidden="1">#REF!</definedName>
    <definedName name="TRNR_30a26efec2a94ec7bf6fb3e641c2cd25_600_1" hidden="1">#REF!</definedName>
    <definedName name="TRNR_30a62771fc2948f9830082161a4c6689_1_4" hidden="1">#REF!</definedName>
    <definedName name="TRNR_30bd7c47eed94a2da369ecf7588e4541_14_1" hidden="1">#REF!</definedName>
    <definedName name="TRNR_30d2fb2ea567467aad78191072cac098_122_1" hidden="1">#REF!</definedName>
    <definedName name="TRNR_30d6a33687264b5998d32871abb9f2c5_118_2" hidden="1">#REF!</definedName>
    <definedName name="TRNR_30d7d01e1578446eb2db3177b30bde06_327_2" hidden="1">#REF!</definedName>
    <definedName name="TRNR_30f02ba6814e4faeaa0d39063b125593_1067_8" hidden="1">#REF!</definedName>
    <definedName name="TRNR_30f5e919eb7a40898189a4f4b87b7750_452_4" hidden="1">#REF!</definedName>
    <definedName name="TRNR_30fdee3d4fd74c7c9435594e19e99e62_655_2" hidden="1">#REF!</definedName>
    <definedName name="TRNR_30fe6237bb9c4484b2033d4c875b2eb2_16_1" hidden="1">#REF!</definedName>
    <definedName name="TRNR_310cf1fedb264699b7a7661bf95400a6_289_2" hidden="1">#REF!</definedName>
    <definedName name="TRNR_31152581cefc4c779cec06ba354c0eeb_814_2" hidden="1">#REF!</definedName>
    <definedName name="TRNR_31301c84bd934ea582f2434d495ad7a2_11_2" hidden="1">#REF!</definedName>
    <definedName name="TRNR_315aa27f43c645fb8069829567840fd4_956_5" hidden="1">#REF!</definedName>
    <definedName name="TRNR_315f8b279fd744a9be02e5550ab944ba_293_7" hidden="1">#REF!</definedName>
    <definedName name="TRNR_31757e29e0814f75b6759196221c6415_275_2" hidden="1">#REF!</definedName>
    <definedName name="TRNR_317ea097c2464271b075096ef855bf5f_229_1" hidden="1">#REF!</definedName>
    <definedName name="TRNR_31da0b8076374ca799070a0f04a39d45_13_1" hidden="1">#REF!</definedName>
    <definedName name="TRNR_321e63314e8843c0bf975939ab6cba18_133_2" hidden="1">#REF!</definedName>
    <definedName name="TRNR_3238692661114ce8a8f8746cbf930446_3396_1" hidden="1">#REF!</definedName>
    <definedName name="TRNR_324bf7cf02c34dc9b527523c56a6c703_183_3" hidden="1">#REF!</definedName>
    <definedName name="TRNR_3261083f56504293a4c816ad79c9c657_462_8" hidden="1">#REF!</definedName>
    <definedName name="TRNR_3262bec2889345e1afab805922fe1fb3_423_4" hidden="1">#REF!</definedName>
    <definedName name="TRNR_3281fe63c16e49f9a1f7d598a3b94764_104_1" hidden="1">#REF!</definedName>
    <definedName name="TRNR_328d1e3bfcfb4a19ac160a9c3771a216_10_1" hidden="1">#REF!</definedName>
    <definedName name="TRNR_32969c4119294cdf846ee75786aa2a44_13_1" hidden="1">#REF!</definedName>
    <definedName name="TRNR_32c9fd6cacff45858032b87b0f1a07d2_133_2" hidden="1">#REF!</definedName>
    <definedName name="TRNR_32d74ae97a274572ae093493e0cdee56_567_2" hidden="1">#REF!</definedName>
    <definedName name="TRNR_32d8b921ccc14b028cfbdf2880d81a95_167_4" hidden="1">#REF!</definedName>
    <definedName name="TRNR_331cfe8dc3af444ab26c66bc354dcbc0_119_1" hidden="1">#REF!</definedName>
    <definedName name="TRNR_336c2af9c2df477781141e8c23329c52_354_2" hidden="1">#REF!</definedName>
    <definedName name="TRNR_337f79e1e08948db9f5278d67805d476_1083_7" hidden="1">#REF!</definedName>
    <definedName name="TRNR_3397ba37997445fbbd74d269451ebe4f_1301_8" hidden="1">#REF!</definedName>
    <definedName name="TRNR_339bffcf26d748a7bfa70e097d7fae03_740_2" hidden="1">#REF!</definedName>
    <definedName name="TRNR_33a94ac5e9fb4cdc867fb4eb13d621ec_2_10" hidden="1">#REF!</definedName>
    <definedName name="TRNR_33b1676398db47a2bd8ef60e43e005ab_555_4" hidden="1">#REF!</definedName>
    <definedName name="TRNR_33c15b1ccd64426898fc1b571b5614ae_523_2" hidden="1">#REF!</definedName>
    <definedName name="TRNR_33c3c48a09ef4f97b1e0205cf3d57f6d_267_2" hidden="1">#REF!</definedName>
    <definedName name="TRNR_33c7be1d4faf42478c9227bb387e461a_814_2" hidden="1">#REF!</definedName>
    <definedName name="TRNR_33e74850c83a42d9b7627eff09410ac8_16_1" hidden="1">#REF!</definedName>
    <definedName name="TRNR_33eb937a12b94de1b182002965a13390_151_1" hidden="1">#REF!</definedName>
    <definedName name="TRNR_341eb95983fb45fe8dffe5153c754a6c_378_1" hidden="1">#REF!</definedName>
    <definedName name="TRNR_342263d501564d7d95a8f70605ce3996_150_3" hidden="1">#REF!</definedName>
    <definedName name="TRNR_343ea79d4d774193a7d06fd6ca2741a9_433_3" hidden="1">#REF!</definedName>
    <definedName name="TRNR_343f7032d62642299eb3f37634f1045e_471_4" hidden="1">#REF!</definedName>
    <definedName name="TRNR_343f95a2e328416cadb6b013a08c1f3f_133_2" hidden="1">#REF!</definedName>
    <definedName name="TRNR_345434678de1406e838771c4fe7c6bd1_535_1" hidden="1">#REF!</definedName>
    <definedName name="TRNR_3465841baf36488bb57dada10d95e551_16_1" hidden="1">#REF!</definedName>
    <definedName name="TRNR_346a21788691469f9c2449d3d91fb9ff_597_2" hidden="1">#REF!</definedName>
    <definedName name="TRNR_349842199dd44c9692176bdb56dfc8bd_23_3" hidden="1">#REF!</definedName>
    <definedName name="TRNR_34afad8ca5764e1c854400452fe84686_353_4" hidden="1">#REF!</definedName>
    <definedName name="TRNR_34b2919d3609404c83aecd19fe0696de_13_1" hidden="1">#REF!</definedName>
    <definedName name="TRNR_34baaee90b2e4f4c8adb062b4eecc8cc_6_1" hidden="1">#REF!</definedName>
    <definedName name="TRNR_34bea3a6e6884519ba4efee29df9f67f_135_2" hidden="1">#REF!</definedName>
    <definedName name="TRNR_34d9334d14e348b8bf0f00491e6f5fe1_13_1" hidden="1">#REF!</definedName>
    <definedName name="TRNR_34de2f918fca4282be6f0aaaaad5e8c0_125_1" hidden="1">#REF!</definedName>
    <definedName name="TRNR_34f192ee69dd4989be34d34d4d163447_323_2" hidden="1">#REF!</definedName>
    <definedName name="TRNR_350f32b1032347cfb663367914b433cc_244_2" hidden="1">#REF!</definedName>
    <definedName name="TRNR_351b8a8a0be043c082c1859e552dcaab_355_2" hidden="1">#REF!</definedName>
    <definedName name="TRNR_3521fae8623f49378adc246d6b1443b0_455_3" hidden="1">#REF!</definedName>
    <definedName name="TRNR_35248a92f1ed40c389afee91db882d4a_10_1" hidden="1">#REF!</definedName>
    <definedName name="TRNR_35392f051cee4158978be64df3f7bd55_544_2" hidden="1">#REF!</definedName>
    <definedName name="TRNR_3544b358a831485e83488cca3895daef_540_1" hidden="1">#REF!</definedName>
    <definedName name="TRNR_3557a083930440e2b0c3611cf09868cd_266_2" hidden="1">#REF!</definedName>
    <definedName name="TRNR_355f620925334c6ab7711d5329d32fbf_148_2" hidden="1">#REF!</definedName>
    <definedName name="TRNR_3560cf3c706c4c3089e5509a3cea35c5_573_2" hidden="1">#REF!</definedName>
    <definedName name="TRNR_3561a9c7a50046eca109f75fdd00b229_405_3" hidden="1">#REF!</definedName>
    <definedName name="TRNR_356fccf59c67495c8b38b660b772f3f7_62_4" hidden="1">#REF!</definedName>
    <definedName name="TRNR_3581af36794e4cb1a231ad0a690ca772_419_3" hidden="1">#REF!</definedName>
    <definedName name="TRNR_35978da102044b7db5b759109e2548e3_148_1" hidden="1">#REF!</definedName>
    <definedName name="TRNR_359969b12ea04f13b144fddac50ca2bd_131_1" hidden="1">#REF!</definedName>
    <definedName name="TRNR_35be32e5174a4107bd72a9b3b6a1ff94_474_3" hidden="1">#REF!</definedName>
    <definedName name="TRNR_35ca40f4440d4cf4b22f6e3fe4715660_23_4" hidden="1">#REF!</definedName>
    <definedName name="TRNR_35ddf2a5d9a34c5eac7b310c77c432d3_151_3" hidden="1">#REF!</definedName>
    <definedName name="TRNR_35e646ad2cab4f9b85d212b2d8679bc6_643_3" hidden="1">#REF!</definedName>
    <definedName name="TRNR_3605cd80ea374d7a8dde87ec043c3697_127_1" hidden="1">#REF!</definedName>
    <definedName name="TRNR_360ed9621c174e4991c572ec28a099d0_225_3" hidden="1">#REF!</definedName>
    <definedName name="TRNR_3611348ac3284d34ab78fbb4165acaf1_26_5" hidden="1">#REF!</definedName>
    <definedName name="TRNR_3635ec0db6df4a19b399b2a1e5287576_275_2" hidden="1">#REF!</definedName>
    <definedName name="TRNR_3636d07f1387482582f9761e8d2c9f59_329_3" hidden="1">#REF!</definedName>
    <definedName name="TRNR_36386e0e77f74932916758e5c192cb59_13_1" hidden="1">#REF!</definedName>
    <definedName name="TRNR_364f14f507e44c8680c0e49a86cf31a2_851_5" hidden="1">#REF!</definedName>
    <definedName name="TRNR_365931f414ff46f8bf0b758b7b13f40b_125_2" hidden="1">#REF!</definedName>
    <definedName name="TRNR_3672d5fd3ba04b9d8cd95682730ec520_13_1" hidden="1">#REF!</definedName>
    <definedName name="TRNR_367532956fbe4abbb3a1720f6bb0f87c_2814_2" hidden="1">#REF!</definedName>
    <definedName name="TRNR_36a2f6ff62714c03b3dceca545472391_342_2" hidden="1">#REF!</definedName>
    <definedName name="TRNR_36a78fb5b80348ce9051eb20be52ab3b_385_2" hidden="1">#REF!</definedName>
    <definedName name="TRNR_36ac63d9e3684f14857559280fddd0b5_519_4" hidden="1">#REF!</definedName>
    <definedName name="TRNR_36b08d42187f4159b9b16b1ba261118d_539_2" hidden="1">#REF!</definedName>
    <definedName name="TRNR_36c91f71f02d4a3a99051f8f19cf6cbb_284_2" hidden="1">#REF!</definedName>
    <definedName name="TRNR_36cb28fbb27d4f68a034a34f126cda10_266_2" hidden="1">#REF!</definedName>
    <definedName name="TRNR_370469d099a249b29852b81e60242769_1_1" hidden="1">#REF!</definedName>
    <definedName name="TRNR_370ef3578bbc458a847377c292bb88ae_523_2" hidden="1">#REF!</definedName>
    <definedName name="TRNR_371bdc72379e4fdfa1ca6a667ae6d968_543_4" hidden="1">#REF!</definedName>
    <definedName name="TRNR_371ce08c58c249cbb6bb74307948a094_402_3" hidden="1">#REF!</definedName>
    <definedName name="TRNR_372e6c1f449e410e84235bdd23e07b19_8_1" hidden="1">#REF!</definedName>
    <definedName name="TRNR_373e394aff9c4dbe85da3fe393d9c8e7_352_3" hidden="1">#REF!</definedName>
    <definedName name="TRNR_37605f0dd58e4500adfa395fad29e6bc_490_2" hidden="1">#REF!</definedName>
    <definedName name="TRNR_377af5467f084e409d25a44cad2a8f13_65_1" hidden="1">#REF!</definedName>
    <definedName name="TRNR_377d96a98a5d47d48e7cd444a1cbeca6_747_6" hidden="1">#REF!</definedName>
    <definedName name="TRNR_379c28043ae24f5aa3bde6b48bee8b8c_179_2" hidden="1">#REF!</definedName>
    <definedName name="TRNR_37a422bc562b46d5a6506c2d20360f35_10_1" hidden="1">#REF!</definedName>
    <definedName name="TRNR_37ab79356324450499f70ea14b497158_9_1" hidden="1">#REF!</definedName>
    <definedName name="TRNR_37c14b8e1051471eafb368b6434cdbb1_25_3" hidden="1">#REF!</definedName>
    <definedName name="TRNR_37d600b562ba4e938a6936d27206f8e6_154_3" hidden="1">#REF!</definedName>
    <definedName name="TRNR_37d890e35b23441c89e9be8ff8e21190_256_2" hidden="1">#REF!</definedName>
    <definedName name="TRNR_37d9b618e97b4a6aba223445ca969124_1152_5" hidden="1">#REF!</definedName>
    <definedName name="TRNR_3800572413894b0ea1b92508b1004a64_23_2" hidden="1">#REF!</definedName>
    <definedName name="TRNR_380f6211388f4a0c8e0610ba16a3e825_23_4" hidden="1">#REF!</definedName>
    <definedName name="TRNR_3818ad0503924bdaa3f432fcb222ee14_16_1" hidden="1">#REF!</definedName>
    <definedName name="TRNR_3821aec27cf248d5881d23e9c0422ede_725_2" hidden="1">#REF!</definedName>
    <definedName name="TRNR_38274edd0b4d4abe94c30fa1809f00dd_13_1" hidden="1">#REF!</definedName>
    <definedName name="TRNR_383f7fbc934c4f7a829b4e8e2b2bf144_551_2" hidden="1">#REF!</definedName>
    <definedName name="TRNR_385b39a8e50d4f4faa8e555ada3ebdfe_16_1" hidden="1">#REF!</definedName>
    <definedName name="TRNR_38754744918948ea921decdebd273a66_1128_8" hidden="1">#REF!</definedName>
    <definedName name="TRNR_387fa57e85274c09b39f64bf61bd00cc_536_3" hidden="1">#REF!</definedName>
    <definedName name="TRNR_388bbd195d8c439f823247e2ac97bcb3_1037_1" hidden="1">#REF!</definedName>
    <definedName name="TRNR_388ec52f27924c22ba81229b289954d0_253_1" hidden="1">#REF!</definedName>
    <definedName name="TRNR_38a5f53f872e4b6a96422b48ca918ac0_13_1" hidden="1">#REF!</definedName>
    <definedName name="TRNR_38a784d715be464197850e8089663a32_584_2" hidden="1">#REF!</definedName>
    <definedName name="TRNR_38c9b866ce0e4b85be2a7d05950765a7_241_9" hidden="1">#REF!</definedName>
    <definedName name="TRNR_38dd0211d0a043de86121cd6d98044e9_204_2" hidden="1">#REF!</definedName>
    <definedName name="TRNR_390142fc3e9a4be1b4d2ea6e6b12b49a_746_6" hidden="1">#REF!</definedName>
    <definedName name="TRNR_3920d8d83b0340aa8c7bfae08a3d1136_203_2" hidden="1">#REF!</definedName>
    <definedName name="TRNR_3925dae56ee94187881d7d79789c3102_258_1" hidden="1">#REF!</definedName>
    <definedName name="TRNR_393c00fb27fc46c5abbbd215d29650ff_419_2" hidden="1">#REF!</definedName>
    <definedName name="TRNR_3968afa88bb742a8bf54647af31c1300_792_2" hidden="1">#REF!</definedName>
    <definedName name="TRNR_396f6f222e0d45a08d0f63601f3e9eda_523_2" hidden="1">#REF!</definedName>
    <definedName name="TRNR_397104961dfd4b4e9550c99b14b77780_452_3" hidden="1">#REF!</definedName>
    <definedName name="TRNR_397190c36a1648d889452a131dfaa53b_746_2" hidden="1">#REF!</definedName>
    <definedName name="TRNR_3977e235f83d4cdfa3dd72525b8c6713_11_3" hidden="1">#REF!</definedName>
    <definedName name="TRNR_39a55da43d7e4dec877f33d9ce1e23cc_16_1" hidden="1">#REF!</definedName>
    <definedName name="TRNR_39b44eeab2934d398cd92a665d2640d5_13_1" hidden="1">#REF!</definedName>
    <definedName name="TRNR_39b81b0d97a443daaf758eba0fa3e649_13_1" hidden="1">#REF!</definedName>
    <definedName name="TRNR_39d970a0c34649cdb3a839dc7c4bb359_527_1" hidden="1">#REF!</definedName>
    <definedName name="TRNR_3a04292a86264dc6a145d65a4d581bc3_155_2" hidden="1">#REF!</definedName>
    <definedName name="TRNR_3a1ac833813e41b0b76b846fb72d7f7c_275_2" hidden="1">#REF!</definedName>
    <definedName name="TRNR_3a234ff34a964961a08193e995ac78c6_104_2" hidden="1">#REF!</definedName>
    <definedName name="TRNR_3a24dfd465b24018886049ef5d108482_275_2" hidden="1">#REF!</definedName>
    <definedName name="TRNR_3a26af7fb472449788aaf1f5fa3a0d4a_660_4" hidden="1">#REF!</definedName>
    <definedName name="TRNR_3a2820ded30d44b0b59a2d6f0863ad7c_141_2" hidden="1">#REF!</definedName>
    <definedName name="TRNR_3a3b40ecf72744e1ab65cc1baf48e4dd_14_1" hidden="1">#REF!</definedName>
    <definedName name="TRNR_3a41351eeede4818858cfa445ff959ee_241_8" hidden="1">#REF!</definedName>
    <definedName name="TRNR_3a55e1bcc8fc4f0f963c1dd67b9df1b2_375_3" hidden="1">#REF!</definedName>
    <definedName name="TRNR_3a6a8eab028a482bae82ab5c986b96d7_380_3" hidden="1">#REF!</definedName>
    <definedName name="TRNR_3a6c97dea5694d448b35ef6308032a90_125_2" hidden="1">#REF!</definedName>
    <definedName name="TRNR_3a73dcbd5f7e422f891135057faa1949_10_1" hidden="1">#REF!</definedName>
    <definedName name="TRNR_3a75808edab3414c8b373ca98ecf4159_419_2" hidden="1">#REF!</definedName>
    <definedName name="TRNR_3a7a1e0a021b45e7aeb955565471918c_774_2" hidden="1">#REF!</definedName>
    <definedName name="TRNR_3a7fd029afcb4826b19b841cb7060faa_203_2" hidden="1">#REF!</definedName>
    <definedName name="TRNR_3a8361874a1e47d7a4bae2d871e1cd7a_281_6" hidden="1">#REF!</definedName>
    <definedName name="TRNR_3a89fe048014440f8c407f611bcf87d7_600_2" hidden="1">#REF!</definedName>
    <definedName name="TRNR_3a99a014fe154f9eaf70ede3cc6b43e4_285_2" hidden="1">#REF!</definedName>
    <definedName name="TRNR_3a9af640169c4d45aab243d4bd9093db_2_2" hidden="1">#REF!</definedName>
    <definedName name="TRNR_3aa5e3cdd9b141df8d4f60025fab03a6_368_2" hidden="1">#REF!</definedName>
    <definedName name="TRNR_3acd72304733439a9b4fc50e5c095e2a_247_2" hidden="1">#REF!</definedName>
    <definedName name="TRNR_3ad65fe816e74b9297d7647f68d28e58_345_3" hidden="1">#REF!</definedName>
    <definedName name="TRNR_3ae853be9aa34c379055a5c3ab59e7cd_9872_2" hidden="1">#REF!</definedName>
    <definedName name="TRNR_3af06c271ddd4d268aef713b3a65527f_162_2" hidden="1">#REF!</definedName>
    <definedName name="TRNR_3af87484d96546eeaaf824e235801320_318_2" hidden="1">#REF!</definedName>
    <definedName name="TRNR_3b04a74b3edb4aec95582284d3e24ecd_16_1" hidden="1">#REF!</definedName>
    <definedName name="TRNR_3b0d27daafc2401497ff9cf4d9dd4505_10_1" hidden="1">#REF!</definedName>
    <definedName name="TRNR_3b131740ee914becaf81f5ad82ba9f75_16_1" hidden="1">#REF!</definedName>
    <definedName name="TRNR_3b1470447d6348e394528fc60783ef71_14_1" hidden="1">#REF!</definedName>
    <definedName name="TRNR_3b4636c64c34478cbd66b53a1e822534_631_2" hidden="1">#REF!</definedName>
    <definedName name="TRNR_3b4a5c0bc8d242e3bd0511106033da25_242_2" hidden="1">#REF!</definedName>
    <definedName name="TRNR_3b77715f4d1d4a388bb54adeda3f466c_133_1" hidden="1">#REF!</definedName>
    <definedName name="TRNR_3b904904f0bd467d8ccb62c8b4ff7d90_539_1" hidden="1">#REF!</definedName>
    <definedName name="TRNR_3b94a8aa0cf940ac81931a9163a6e8d5_241_2" hidden="1">#REF!</definedName>
    <definedName name="TRNR_3ba700142d494d7a9052a33797673403_470_1" hidden="1">#REF!</definedName>
    <definedName name="TRNR_3bb9a12b3491418ab9c1f5861d908d48_631_2" hidden="1">#REF!</definedName>
    <definedName name="TRNR_3bbe1150ceb942a296ee605ef913cb7c_379_3" hidden="1">#REF!</definedName>
    <definedName name="TRNR_3bc61b4c1924412580273a1a251c20f4_216_2" hidden="1">#REF!</definedName>
    <definedName name="TRNR_3bce712eaf8e4f9db7b82861d6a32d30_669_4" hidden="1">#REF!</definedName>
    <definedName name="TRNR_3be2cf8b63b64042bacc866e29458125_371_6" hidden="1">#REF!</definedName>
    <definedName name="TRNR_3bffceb269ce4547bb3c6040369f039a_544_2" hidden="1">#REF!</definedName>
    <definedName name="TRNR_3c00d72577604b66b1bb4426428e026b_1518_2" hidden="1">#REF!</definedName>
    <definedName name="TRNR_3c1052b08b5c4e13a7c508f2ac924607_1976_1" hidden="1">#REF!</definedName>
    <definedName name="TRNR_3c11f0225a444ee8bf9d45f38391abb1_590_2" hidden="1">#REF!</definedName>
    <definedName name="TRNR_3c24dc31d6c6410a86e6a16be9fa20f4_1110_7" hidden="1">#REF!</definedName>
    <definedName name="TRNR_3c2fd59741804b98b0fb218e972bfbef_2824_2" hidden="1">#REF!</definedName>
    <definedName name="TRNR_3c39f35737d24c76901276a39517b733_9_1" hidden="1">#REF!</definedName>
    <definedName name="TRNR_3c48246a39d1450286929c211a8e016e_134_4" hidden="1">#REF!</definedName>
    <definedName name="TRNR_3c4f4897b342437e939bcd3a900a3faa_52_1" hidden="1">#REF!</definedName>
    <definedName name="TRNR_3c546be0a6d7439a84b313d03e1c14e3_44_2" hidden="1">#REF!</definedName>
    <definedName name="TRNR_3c5c95d48c9e4bd2863ee939723c3935_420_3" hidden="1">#REF!</definedName>
    <definedName name="TRNR_3c66d5560f0044a6ba9b9e19f6019ff1_16_2" hidden="1">#REF!</definedName>
    <definedName name="TRNR_3c79426d6aad4cb9a51aa5224f425e60_2_1" hidden="1">#REF!</definedName>
    <definedName name="TRNR_3c82fe8b8ea24eaca76487a090f8cb56_496_2" hidden="1">#REF!</definedName>
    <definedName name="TRNR_3c8e818593914c9cb68b8434625c08be_151_1" hidden="1">#REF!</definedName>
    <definedName name="TRNR_3c90c0dcba2f40038f266a89d1807f32_544_2" hidden="1">#REF!</definedName>
    <definedName name="TRNR_3ca5d1f80daa40a4848aa52c8effb434_7_1" hidden="1">#REF!</definedName>
    <definedName name="TRNR_3cb03d96ca7b4693b45234d8d239a637_419_5" hidden="1">#REF!</definedName>
    <definedName name="TRNR_3cb97ff5a6194889b325c4168f2e8377_10395_2" hidden="1">#REF!</definedName>
    <definedName name="TRNR_3cc30b9ef48c4a23bfed7fb4e8bf3217_1022_7" hidden="1">#REF!</definedName>
    <definedName name="TRNR_3cca27a41293456a833ddbd0a82ad1db_401_3" hidden="1">#REF!</definedName>
    <definedName name="TRNR_3ccb67699f4e41daaed2dd62719ba374_323_3" hidden="1">#REF!</definedName>
    <definedName name="TRNR_3cedec506f104252b209db1429544c5a_6_2" hidden="1">#REF!</definedName>
    <definedName name="TRNR_3cf2937fce69425a8e073f3cad0417c0_664_2" hidden="1">#REF!</definedName>
    <definedName name="TRNR_3d043f77abe34af8bdc294c797a6715c_215_2" hidden="1">#REF!</definedName>
    <definedName name="TRNR_3d12856c400e44beb26b87d4566196ee_932_5" hidden="1">#REF!</definedName>
    <definedName name="TRNR_3d1c2e9489384354a51642b8f98fa9b3_122_1" hidden="1">#REF!</definedName>
    <definedName name="TRNR_3d22a4c1c3304a08a5b82f157ec9c7d6_1_4" hidden="1">#REF!</definedName>
    <definedName name="TRNR_3d2411e491434adb9658845ce0f1bb80_408_3" hidden="1">#REF!</definedName>
    <definedName name="TRNR_3d275929be20482da98f3d8a3ebc1993_267_2" hidden="1">#REF!</definedName>
    <definedName name="TRNR_3d2b5184f0094901b6250d2500d48989_544_7" hidden="1">#REF!</definedName>
    <definedName name="TRNR_3d32274fae5a414ba546f0f6ec472f6a_391_5" hidden="1">#REF!</definedName>
    <definedName name="TRNR_3d3884f922ba446bab27b21fc41a38e8_409_3" hidden="1">#REF!</definedName>
    <definedName name="TRNR_3d405a0216b64f8a9b9b268fb8298ec4_723_2" hidden="1">#REF!</definedName>
    <definedName name="TRNR_3d430e6fa2e24c9e9b956da562709ab3_384_11" hidden="1">#REF!</definedName>
    <definedName name="TRNR_3d51dd42c5a24cfaa65921c760cbbe38_1047_5" hidden="1">#REF!</definedName>
    <definedName name="TRNR_3d574e79847845ed9420c55b46598301_397_4" hidden="1">#REF!</definedName>
    <definedName name="TRNR_3d62f702cab54d4ba672e5d898eb6545_148_2" hidden="1">#REF!</definedName>
    <definedName name="TRNR_3d6ab26d360344249247694e2f4206bc_2776_1" hidden="1">#REF!</definedName>
    <definedName name="TRNR_3d6b12b7e7b54ebfb1a9f6b2daa976b7_232_3" hidden="1">#REF!</definedName>
    <definedName name="TRNR_3d76d54a39884f3b8c552fb4172e0b10_46_3" hidden="1">#REF!</definedName>
    <definedName name="TRNR_3d9fe01715624767b7b10c58f045f049_83_2" hidden="1">#REF!</definedName>
    <definedName name="TRNR_3dad205399fc4293b5c1d9329c62ddb1_119_2" hidden="1">#REF!</definedName>
    <definedName name="TRNR_3db2b9a463154aae915fe3c4d15cb5a8_13_1" hidden="1">#REF!</definedName>
    <definedName name="TRNR_3db7158895a94887adb39503f11cd7c5_349_6" hidden="1">#REF!</definedName>
    <definedName name="TRNR_3dc1633299d54f398e8dc7a11fe3cc4a_9839_1" hidden="1">#REF!</definedName>
    <definedName name="TRNR_3dc7e26751ca4f3dadcdaa18070dfd36_499_4" hidden="1">#REF!</definedName>
    <definedName name="TRNR_3dcd1b124e82475d8b92334dc94a5bac_42_7" hidden="1">#REF!</definedName>
    <definedName name="TRNR_3ddee0e5c77c4da9a724a70c14a2fa00_215_1" hidden="1">#REF!</definedName>
    <definedName name="TRNR_3de7d969262145af98fcf96ed78e7f8d_522_1" hidden="1">#REF!</definedName>
    <definedName name="TRNR_3df25fc39fb1476a80561443355fd89a_10_1" hidden="1">#REF!</definedName>
    <definedName name="TRNR_3df85897208747a4b90beff31a388ee3_119_1" hidden="1">#REF!</definedName>
    <definedName name="TRNR_3dfc0c4d751848e7af7565979643be7e_290_3" hidden="1">#REF!</definedName>
    <definedName name="TRNR_3e0b2c2c65d6488789708c672acd11a7_524_3" hidden="1">#REF!</definedName>
    <definedName name="TRNR_3e2ab32d79a44fbab236673ec8499dc2_179_1" hidden="1">#REF!</definedName>
    <definedName name="TRNR_3e2ac3cb20ea4cd89aeb7961b8048119_336_4" hidden="1">#REF!</definedName>
    <definedName name="TRNR_3e2cc326b9c9419fa0f6300f0eb0734f_1107_4" hidden="1">#REF!</definedName>
    <definedName name="TRNR_3e2e46d0697246b69a9167eb8d7fdb8a_662_4" hidden="1">#REF!</definedName>
    <definedName name="TRNR_3e330357759844c4955e5aead6a53ea2_190_2" hidden="1">#REF!</definedName>
    <definedName name="TRNR_3e34f11dd0184ee583ce6fab40dbfe56_72_2" hidden="1">#REF!</definedName>
    <definedName name="TRNR_3e409157ce9b441b9c2c15d9485af82c_32_3" hidden="1">#REF!</definedName>
    <definedName name="TRNR_3e4453ceb82c4e7d9cf7fbd0f0ac34ef_96_1" hidden="1">#REF!</definedName>
    <definedName name="TRNR_3e4fc8d03bb54e20a481cbb4f18d2618_162_1" hidden="1">#REF!</definedName>
    <definedName name="TRNR_3e677976148c4ce38a4af82bba56bbcd_543_2" hidden="1">#REF!</definedName>
    <definedName name="TRNR_3e875b3c26ec448998c2287f6a4eb307_285_2" hidden="1">#REF!</definedName>
    <definedName name="TRNR_3e8844480cbd4da4b5f29a1773c6fb53_37_1" hidden="1">#REF!</definedName>
    <definedName name="TRNR_3e9789396ea44b77a87362af40c26042_792_5" hidden="1">#REF!</definedName>
    <definedName name="TRNR_3ea36f8e2cd349eeba39ec4762217e39_379_3" hidden="1">#REF!</definedName>
    <definedName name="TRNR_3ea62ee41f9e42aaac661042fe5cc2d6_214_2" hidden="1">#REF!</definedName>
    <definedName name="TRNR_3ec5681c84f44244b447d1f3c7fe8d09_10_1" hidden="1">#REF!</definedName>
    <definedName name="TRNR_3ed2ea3a208448dba6b4b1f334f07b96_540_1" hidden="1">#REF!</definedName>
    <definedName name="TRNR_3eeadf4b981743548129f298b2bd6712_4_1" hidden="1">#REF!</definedName>
    <definedName name="TRNR_3ef280c7e07e4d42b9554e1810e46413_369_2" hidden="1">#REF!</definedName>
    <definedName name="TRNR_3ef2d08e60d54966b46e1febe8f425b9_394_3" hidden="1">#REF!</definedName>
    <definedName name="TRNR_3ef301c0fae24fa39efce025449abd1d_233_1" hidden="1">#REF!</definedName>
    <definedName name="TRNR_3ef49735b25d434f96c1b173ad4988e9_369_2" hidden="1">#REF!</definedName>
    <definedName name="TRNR_3ef74d4662fb4434afb4c3eabdffba47_851_7" hidden="1">#REF!</definedName>
    <definedName name="TRNR_3ef979e4acb54f9c9c908d4e5807a0b7_23_4" hidden="1">#REF!</definedName>
    <definedName name="TRNR_3f0dde5900174432a5fdb1ab5104101d_42_4" hidden="1">#REF!</definedName>
    <definedName name="TRNR_3f25e19632d345c7a79d9f7b36648514_145_1" hidden="1">#REF!</definedName>
    <definedName name="TRNR_3f3ddd377b6f41608aa6534bf4b644a3_16_1" hidden="1">#REF!</definedName>
    <definedName name="TRNR_3f44e29fb74a4336bfdf7d50e0f21832_289_2" hidden="1">#REF!</definedName>
    <definedName name="TRNR_3f4d835792f8485796a8ae31fc009f75_3370_2" hidden="1">#REF!</definedName>
    <definedName name="TRNR_3f7458e9586e417abfa5cc4e721d1b8e_730_2" hidden="1">#REF!</definedName>
    <definedName name="TRNR_3f8d15c282904d73930ed0e27392e154_26_4" hidden="1">#REF!</definedName>
    <definedName name="TRNR_3f946fdb7877485b942162b36db5c9f4_122_2" hidden="1">#REF!</definedName>
    <definedName name="TRNR_3f95366cbe5446ab85bc024011b8cac9_313_2" hidden="1">#REF!</definedName>
    <definedName name="TRNR_3f9756bd3cc74c6080c09ea0a6c3a87f_591_2" hidden="1">#REF!</definedName>
    <definedName name="TRNR_3f97f5b7cf384ecfbc4278d3bd2de871_72_2" hidden="1">#REF!</definedName>
    <definedName name="TRNR_3f9a3e7a76524c4ea1f128eee5a9c977_23_3" hidden="1">#REF!</definedName>
    <definedName name="TRNR_3fb356b01aab4e18a0b2249b823c7d72_275_2" hidden="1">#REF!</definedName>
    <definedName name="TRNR_3fb4585b998f4485a4fe566e09dc1bf9_592_1" hidden="1">#REF!</definedName>
    <definedName name="TRNR_3fd42f46f11b489996eecfc77809c496_13_1" hidden="1">#REF!</definedName>
    <definedName name="TRNR_3fd5a6845c5046c3988f724c07f84d83_539_2" hidden="1">#REF!</definedName>
    <definedName name="TRNR_3ff1c431057a4dfbaaca5c268bfddaed_740_5" hidden="1">#REF!</definedName>
    <definedName name="TRNR_400667d95a5d430ca65e9839bd5dc37f_4_3" hidden="1">#REF!</definedName>
    <definedName name="TRNR_401ac50f90344d44ba30ad264b575db8_16_1" hidden="1">#REF!</definedName>
    <definedName name="TRNR_401e6dcab26849f7b566e4dc1f74e125_337_3" hidden="1">#REF!</definedName>
    <definedName name="TRNR_4026dee9075747928be683cf68d396a7_536_2" hidden="1">#REF!</definedName>
    <definedName name="TRNR_403f87f8d6ea4f7a8baa1ad86d2d6765_292_3" hidden="1">#REF!</definedName>
    <definedName name="TRNR_4046a54ebfd34fdfbd062dc7a4ae753c_1339_8" hidden="1">#REF!</definedName>
    <definedName name="TRNR_4047b3d8d4bf499a96f848b68e3b289d_132_2" hidden="1">#REF!</definedName>
    <definedName name="TRNR_40651e603a2b4297923a3035782c5df2_374_4" hidden="1">#REF!</definedName>
    <definedName name="TRNR_4073179e72fd453898bb872e04d4efe5_9_1" hidden="1">#REF!</definedName>
    <definedName name="TRNR_40811576a2104bb8a858790d03a15381_787_6" hidden="1">#REF!</definedName>
    <definedName name="TRNR_409d8f30c270409db546fe3f014abf41_350_2" hidden="1">#REF!</definedName>
    <definedName name="TRNR_40a96613ffe242bf8d8250e457ea19dc_149_1" hidden="1">#REF!</definedName>
    <definedName name="TRNR_40ac82856c0f4befadea7675970de853_1123_7" hidden="1">#REF!</definedName>
    <definedName name="TRNR_40ba38a6b93e4e2aa064be983d677c10_372_3" hidden="1">#REF!</definedName>
    <definedName name="TRNR_40e20d8fb2fc47cd98721edf8c674d85_149_1" hidden="1">#REF!</definedName>
    <definedName name="TRNR_40e52a725a144a108ff42d8966966cf9_518_2" hidden="1">#REF!</definedName>
    <definedName name="TRNR_40e70da7ea074013994c62f82b8c4b38_203_6" hidden="1">#REF!</definedName>
    <definedName name="TRNR_40ed3da032324e81bfdde8a0dac1cbac_8_5" hidden="1">#REF!</definedName>
    <definedName name="TRNR_40ef584104b04eb8b14f49bbfe7ee9ea_625_2" hidden="1">#REF!</definedName>
    <definedName name="TRNR_410a5ef79d334b43a38297a07839620e_891_5" hidden="1">#REF!</definedName>
    <definedName name="TRNR_410bc63199bb4f40a36a83ec4af38b4b_393_4" hidden="1">#REF!</definedName>
    <definedName name="TRNR_4115543f25094b69b4fb65fc61da31b2_162_1" hidden="1">#REF!</definedName>
    <definedName name="TRNR_413dd02b49d04d67a3a7e0d5ad431860_6_2" hidden="1">#REF!</definedName>
    <definedName name="TRNR_4140909ba4ac4085bc8a529037a2fa4b_1999_4" hidden="1">#REF!</definedName>
    <definedName name="TRNR_4146800b23fb4dea8bb3d6b45f91041b_303_2" hidden="1">#REF!</definedName>
    <definedName name="TRNR_41568fe0581c405880c88214edb080e4_372_2" hidden="1">#REF!</definedName>
    <definedName name="TRNR_41598119963e45f392d3b340b6126096_150_3" hidden="1">#REF!</definedName>
    <definedName name="TRNR_41817cabfc5446b8a91ef98fe72255ca_10_1" hidden="1">#REF!</definedName>
    <definedName name="TRNR_418c1925fbaf449abe493b68467dc412_11_3" hidden="1">#REF!</definedName>
    <definedName name="TRNR_419208056a1f41d9a3c76c81783c0d9a_163_2" hidden="1">#REF!</definedName>
    <definedName name="TRNR_419713895c5449c68271a9e104dcb0f2_320_2" hidden="1">#REF!</definedName>
    <definedName name="TRNR_419d6bd4e5d0471cb1d58bc8c801dc52_294_5" hidden="1">#REF!</definedName>
    <definedName name="TRNR_41b46e6028c845bab4409ce94d081fa4_452_4" hidden="1">#REF!</definedName>
    <definedName name="TRNR_41b58f22453244a6a89c773b710f7822_10_1" hidden="1">#REF!</definedName>
    <definedName name="TRNR_41d5086ddfea4e5084f8cdf300cb1205_330_3" hidden="1">#REF!</definedName>
    <definedName name="TRNR_41e45d00a6c74bf2b1385eeea3e0b80b_13_1" hidden="1">#REF!</definedName>
    <definedName name="TRNR_41efe575ed2c4b2b93a7562b1795674f_372_6" hidden="1">#REF!</definedName>
    <definedName name="TRNR_41f430b80b684b9da67657e832ccff99_956_8" hidden="1">#REF!</definedName>
    <definedName name="TRNR_41f9c06db28a487ab814636163f3b271_240_3" hidden="1">#REF!</definedName>
    <definedName name="TRNR_420da8745d7e48228ee0109c903763db_380_2" hidden="1">#REF!</definedName>
    <definedName name="TRNR_4232913ba93944e8a928885b0a09f843_26_4" hidden="1">#REF!</definedName>
    <definedName name="TRNR_423494c8d02d4e738c318ee3bc2cfbe5_16_1" hidden="1">#REF!</definedName>
    <definedName name="TRNR_423a7bef5ca0402b905bf34bcc80239a_9_1" hidden="1">#REF!</definedName>
    <definedName name="TRNR_423dad9ffb4049a38ad743b820f6fce5_522_2" hidden="1">#REF!</definedName>
    <definedName name="TRNR_423ddfa9476748b593c18f08fd66acbe_791_2" hidden="1">#REF!</definedName>
    <definedName name="TRNR_4263947cca424f878a16726e81bd30c9_42_6" hidden="1">#REF!</definedName>
    <definedName name="TRNR_426cba27161f44ca8963204ca12db723_384_11" hidden="1">#REF!</definedName>
    <definedName name="TRNR_426e6a1506f1446b8944f63631230f87_45_7" hidden="1">#REF!</definedName>
    <definedName name="TRNR_428417f1d2ef42c4a3f77eda171a3c33_203_4" hidden="1">#REF!</definedName>
    <definedName name="TRNR_428d676aff7748249ac2289c0a2756c0_150_3" hidden="1">#REF!</definedName>
    <definedName name="TRNR_42950c5cce9040a087d8d0b51d0624b8_49_6" hidden="1">#REF!</definedName>
    <definedName name="TRNR_4295d791dc4141e893aa55b4e73da052_152_2" hidden="1">#REF!</definedName>
    <definedName name="TRNR_42ae050b92694193acedbedf3b954a94_146_3" hidden="1">#REF!</definedName>
    <definedName name="TRNR_42babedfda4144ffbe3eabf133569dd7_13_1" hidden="1">#REF!</definedName>
    <definedName name="TRNR_42e84911053e49059be34e263bdf9f48_16_1" hidden="1">#REF!</definedName>
    <definedName name="TRNR_42ee754aeefe47ea9ecec9c45fd5c3aa_130_3" hidden="1">#REF!</definedName>
    <definedName name="TRNR_42f1484ec75947249c52352b973e2886_2_1" hidden="1">#REF!</definedName>
    <definedName name="TRNR_42f1d7bbe8204ac9b5310dce0676a04f_676_2" hidden="1">#REF!</definedName>
    <definedName name="TRNR_42f9239245e04f1f9817f3c4e46495a1_13_1" hidden="1">#REF!</definedName>
    <definedName name="TRNR_430d3e0493de450e8a3a083e6f69e3ee_322_2" hidden="1">#REF!</definedName>
    <definedName name="TRNR_430fdf84ab9a4fdc905b2c0e11334c42_348_3" hidden="1">#REF!</definedName>
    <definedName name="TRNR_43134a05c09843ba9d8d8d1f02526720_121_1" hidden="1">#REF!</definedName>
    <definedName name="TRNR_43150a8d5d6a448b98aee2bd7e79c022_595_2" hidden="1">#REF!</definedName>
    <definedName name="TRNR_4343b8cce3364a6ab71324684a3359ee_203_2" hidden="1">#REF!</definedName>
    <definedName name="TRNR_434e4d704a454a05a0a7f5af1c65fb50_456_1" hidden="1">#REF!</definedName>
    <definedName name="TRNR_4370475c102f4b0c845b0385c4533029_553_4" hidden="1">#REF!</definedName>
    <definedName name="TRNR_43a3dceecdc4459c8fd477f9610d541b_531_2" hidden="1">#REF!</definedName>
    <definedName name="TRNR_43aa8693b7a0476e92f7c7c12c74ee0a_682_2" hidden="1">#REF!</definedName>
    <definedName name="TRNR_43ba022e57e74cee8dd2d123b9e94ae8_149_2" hidden="1">#REF!</definedName>
    <definedName name="TRNR_43c3ab3e624a49829422c6ac62e27671_540_1" hidden="1">#REF!</definedName>
    <definedName name="TRNR_43d275a5c8ef4227a9482e032105101b_657_2" hidden="1">#REF!</definedName>
    <definedName name="TRNR_43d4c84f3fe346249629aaa76e7b85b4_13_1" hidden="1">#REF!</definedName>
    <definedName name="TRNR_441cb647ae124732aa4531ad661f2115_23_4" hidden="1">#REF!</definedName>
    <definedName name="TRNR_444956f2dbce489e8fd1590d662ea6de_13_1" hidden="1">#REF!</definedName>
    <definedName name="TRNR_444987f4182f46faae2929a9086cbf44_120_2" hidden="1">#REF!</definedName>
    <definedName name="TRNR_444a3e5970574776807d9a5ffccee8f1_14_1" hidden="1">#REF!</definedName>
    <definedName name="TRNR_4488c91987394336bde6f25d756c39aa_23_3" hidden="1">#REF!</definedName>
    <definedName name="TRNR_4496bd1583114aa9ad66ce2b8d971f88_275_2" hidden="1">#REF!</definedName>
    <definedName name="TRNR_449c6af42a944026a3785a1b17d0b8c4_183_3" hidden="1">#REF!</definedName>
    <definedName name="TRNR_449c93f645b540e0b53a2ba2094fa6e5_289_2" hidden="1">#REF!</definedName>
    <definedName name="TRNR_44a04deaba7549128bbac3ace46bb7ff_926_8" hidden="1">#REF!</definedName>
    <definedName name="TRNR_44a2899d060743229a593faae8c54d72_148_2" hidden="1">#REF!</definedName>
    <definedName name="TRNR_44a2e5fa1210481da708ede9b32ddbb5_122_2" hidden="1">#REF!</definedName>
    <definedName name="TRNR_44b30b35c54647078f337c6c2d0d2e0e_459_2" hidden="1">#REF!</definedName>
    <definedName name="TRNR_44d2967fd5264b368ce0c07aca791b87_26_2" hidden="1">#REF!</definedName>
    <definedName name="TRNR_44db90769a6c48249cbdfe2bb1b2e5c8_215_2" hidden="1">#REF!</definedName>
    <definedName name="TRNR_44de699249cc4e31b1b8d8a1ab22d000_538_2" hidden="1">#REF!</definedName>
    <definedName name="TRNR_44e2e976470147c6999ebaaa889c6b8e_16_1" hidden="1">#REF!</definedName>
    <definedName name="TRNR_451d0ed1001e43ce92b7431e60bc2e8f_179_1" hidden="1">#REF!</definedName>
    <definedName name="TRNR_4521a876405742749c7ec7c642fca999_9_1" hidden="1">#REF!</definedName>
    <definedName name="TRNR_452210dc372442f680ba3e912ce739c1_141_2" hidden="1">#REF!</definedName>
    <definedName name="TRNR_452b630a10ee4b7eb8b285b0730601ea_2345_2" hidden="1">#REF!</definedName>
    <definedName name="TRNR_45358bb794574f16aeabf8102c2f6880_420_3" hidden="1">#REF!</definedName>
    <definedName name="TRNR_4535e70e958b4bdda5683737908d0cb4_9_1" hidden="1">#REF!</definedName>
    <definedName name="TRNR_453e88e992ae4c6eaa6aa2fa37ace94d_26_1" hidden="1">#REF!</definedName>
    <definedName name="TRNR_4546dd92e5a94a69b28241d54c96c493_9_1" hidden="1">#REF!</definedName>
    <definedName name="TRNR_4554f7e42e78463da0de4449c2c592f2_13_1" hidden="1">#REF!</definedName>
    <definedName name="TRNR_4556d2f7863f4fc18c3a5566b658fbab_300_2" hidden="1">#REF!</definedName>
    <definedName name="TRNR_4557628a56404117b5fbe93ad83291cc_731_2" hidden="1">#REF!</definedName>
    <definedName name="TRNR_4563b0485d54433ba4bdccf036c743ce_315_4" hidden="1">#REF!</definedName>
    <definedName name="TRNR_45676d98a2f3432a82fbd54b359fcdea_10_1" hidden="1">#REF!</definedName>
    <definedName name="TRNR_4578367aac3a4ccb8bd134cd3226c872_241_4" hidden="1">#REF!</definedName>
    <definedName name="TRNR_458104f38428432688ad3cc14e23d519_10_1" hidden="1">#REF!</definedName>
    <definedName name="TRNR_45951080818a448b9a03a0c2e071d960_6_2" hidden="1">#REF!</definedName>
    <definedName name="TRNR_4597d8cc70d84cf6804ba48fc2e6eb10_641_5" hidden="1">#REF!</definedName>
    <definedName name="TRNR_459b10d7842d4e30832ddecb7d7ac974_315_4" hidden="1">#REF!</definedName>
    <definedName name="TRNR_45bc574a8eac418aa72041d61af9e683_1248_3" hidden="1">#REF!</definedName>
    <definedName name="TRNR_45bfb325e4d74209a86598a2c28faf20_203_8" hidden="1">#REF!</definedName>
    <definedName name="TRNR_45cc766240fd4014a46abcf64bc73e4f_16_1" hidden="1">#REF!</definedName>
    <definedName name="TRNR_45d16c12e8144db0a37e41f933d829c5_13_1" hidden="1">#REF!</definedName>
    <definedName name="TRNR_45daee31e4784fff913de655fdec6201_527_2" hidden="1">#REF!</definedName>
    <definedName name="TRNR_45dd0d9d4dbb4bce8b488b7262e1fab2_9_1" hidden="1">#REF!</definedName>
    <definedName name="TRNR_45efbac496ff4e56be1fa1f1276f9da0_91_2" hidden="1">#REF!</definedName>
    <definedName name="TRNR_45f5b662ee7946a59c8fc20a54ac8c6c_7_20" hidden="1">#REF!</definedName>
    <definedName name="TRNR_460b9577ff20414385327072320722c0_7_1" hidden="1">#REF!</definedName>
    <definedName name="TRNR_4632f51eec1b4ba0bf91a179c73d325e_275_2" hidden="1">#REF!</definedName>
    <definedName name="TRNR_463992f1243c424dab46647030533568_335_2" hidden="1">#REF!</definedName>
    <definedName name="TRNR_463cc02e09ad469caacf4d03111d2709_132_2" hidden="1">#REF!</definedName>
    <definedName name="TRNR_464197a4f7e54b47a80367ee9489edc3_321_2" hidden="1">#REF!</definedName>
    <definedName name="TRNR_4643198beb41496e8293108c234bb474_10_10" hidden="1">#REF!</definedName>
    <definedName name="TRNR_4643bccdf51342b39f3a07a514bb5b8c_540_1" hidden="1">#REF!</definedName>
    <definedName name="TRNR_4662069a920443c9b8241c139efc6bca_538_2" hidden="1">#REF!</definedName>
    <definedName name="TRNR_4664e969721f42deaf2a5bd1dbe4ad3f_544_2" hidden="1">#REF!</definedName>
    <definedName name="TRNR_466ce41ae44c4b47acf0b1469bc8c18e_141_2" hidden="1">#REF!</definedName>
    <definedName name="TRNR_467cbe082b6f4906a13b851af3e9985d_13_1" hidden="1">#REF!</definedName>
    <definedName name="TRNR_468e710b77224865a76f455255267d02_318_4" hidden="1">#REF!</definedName>
    <definedName name="TRNR_4691f40d729247af81ec6c8a81b1b947_2345_1" hidden="1">#REF!</definedName>
    <definedName name="TRNR_46930e7b806d4578b790dd29814283b7_119_1" hidden="1">#REF!</definedName>
    <definedName name="TRNR_469483b92c154250abc86b09578af7a3_536_2" hidden="1">#REF!</definedName>
    <definedName name="TRNR_46be01a91225479fb668da5602e29c17_9_1" hidden="1">#REF!</definedName>
    <definedName name="TRNR_46d96ea180254e70a7486b7be8402d5b_210_2" hidden="1">#REF!</definedName>
    <definedName name="TRNR_46edc4a434c94a86a935c19a3dc62887_303_2" hidden="1">#REF!</definedName>
    <definedName name="TRNR_46f85426fb9844bfb8aa5830ebdef258_14_1" hidden="1">#REF!</definedName>
    <definedName name="TRNR_4702f28345664277a1ee4626d6babc17_133_2" hidden="1">#REF!</definedName>
    <definedName name="TRNR_470b140c0bb646ebafcc8dd4fc1f8032_10_1" hidden="1">#REF!</definedName>
    <definedName name="TRNR_4728ee124ed04a02b4a111c8d481504a_455_2" hidden="1">#REF!</definedName>
    <definedName name="TRNR_4732cf9ee6454f7cafc3c5b246bd1c7c_572_4" hidden="1">#REF!</definedName>
    <definedName name="TRNR_473b564842984a0ba06303cb7ceac024_544_2" hidden="1">#REF!</definedName>
    <definedName name="TRNR_4746d2f07e904ddfa9664506674fe0a1_202_1" hidden="1">#REF!</definedName>
    <definedName name="TRNR_475e5f14343f49a1866bfa6762a2c708_321_4" hidden="1">#REF!</definedName>
    <definedName name="TRNR_4765440a741243899f3a793473ec1366_352_2" hidden="1">#REF!</definedName>
    <definedName name="TRNR_4766b856b5d1437cb05303a674184046_2806_2" hidden="1">#REF!</definedName>
    <definedName name="TRNR_4767dd8c436d44e0b6e150ffac562099_16_1" hidden="1">#REF!</definedName>
    <definedName name="TRNR_476ebf28ad9b4a899cad1c07b4cd1027_104_2" hidden="1">#REF!</definedName>
    <definedName name="TRNR_47d49775955742eca9b80f60791e8302_275_2" hidden="1">#REF!</definedName>
    <definedName name="TRNR_47df5cadd4ab446b8811b626fb29e222_3_1" hidden="1">#REF!</definedName>
    <definedName name="TRNR_47f305a5f6d94a6dbe7be8c25e8da0e4_146_2" hidden="1">#REF!</definedName>
    <definedName name="TRNR_483ec6b739314d82af2671e249df485d_575_2" hidden="1">#REF!</definedName>
    <definedName name="TRNR_485b8a2ff8944a9dad024254adb12c6c_556_4" hidden="1">#REF!</definedName>
    <definedName name="TRNR_4864bb8d8c05422d811edfe033374a3f_415_3" hidden="1">#REF!</definedName>
    <definedName name="TRNR_4872216f68e6438c8134513a88cc7411_119_2" hidden="1">#REF!</definedName>
    <definedName name="TRNR_4879fd38bbfd41ed8839a74bd8533e5c_915_5" hidden="1">#REF!</definedName>
    <definedName name="TRNR_4881fe668cfe47278513b24d4a742fd6_150_3" hidden="1">#REF!</definedName>
    <definedName name="TRNR_48a2a04dee5244609298f85786400c2f_246_3" hidden="1">#REF!</definedName>
    <definedName name="TRNR_48c00a144bba4e27a9409f7a392eb681_645_2" hidden="1">#REF!</definedName>
    <definedName name="TRNR_48d4db3126204e97a558ded15d2f683b_44_2" hidden="1">#REF!</definedName>
    <definedName name="TRNR_48d765ab62f74151afd6ff7479c0ef29_475_4" hidden="1">#REF!</definedName>
    <definedName name="TRNR_48d9521e7bc34e209ffc4a56f2543223_391_2" hidden="1">#REF!</definedName>
    <definedName name="TRNR_48d9846b6c79493aa760e7f63999accf_154_1" hidden="1">#REF!</definedName>
    <definedName name="TRNR_48ebd7a28f87413ca2a985804c138896_10_1" hidden="1">#REF!</definedName>
    <definedName name="TRNR_48f8bba493eb4f1daf9961536854b306_10_1" hidden="1">#REF!</definedName>
    <definedName name="TRNR_4915fdfe18c948a09c6551969c16816b_13_1" hidden="1">#REF!</definedName>
    <definedName name="TRNR_4917b354e648477e9e3b3d2f6860c1b8_739_2" hidden="1">#REF!</definedName>
    <definedName name="TRNR_49270aa2c1a74922a86ff6dd162110a5_10_1" hidden="1">#REF!</definedName>
    <definedName name="TRNR_4928264e2dd646f0bfa03c70dfe9e5d2_275_3" hidden="1">#REF!</definedName>
    <definedName name="TRNR_494979fe6fe145ddb5a58c6ea709e9e8_518_2" hidden="1">#REF!</definedName>
    <definedName name="TRNR_494dfd09c09b4c1ba30cc4a7e6e260fa_109_1" hidden="1">#REF!</definedName>
    <definedName name="TRNR_495b09d1ba694c0d97df31c994b2c4d1_148_3" hidden="1">#REF!</definedName>
    <definedName name="TRNR_495ba543ac39437fb628b213e647c2de_13_1" hidden="1">#REF!</definedName>
    <definedName name="TRNR_49a3bf17bfc942ebba5c55392f1beb91_590_4" hidden="1">#REF!</definedName>
    <definedName name="TRNR_49aa12682fa24d718ff298467ce7cfff_129_1" hidden="1">#REF!</definedName>
    <definedName name="TRNR_49ad1fe3f0364cd7924ca42f9c8e919b_423_3" hidden="1">#REF!</definedName>
    <definedName name="TRNR_49ddfd6a076d45d2ab25022ef764bc6a_376_4" hidden="1">#REF!</definedName>
    <definedName name="TRNR_49df8b7eb4d447729427670a6ebe8388_9_1" hidden="1">#REF!</definedName>
    <definedName name="TRNR_49ecd67f7be74fd6935d249a336a97d3_144_4" hidden="1">#REF!</definedName>
    <definedName name="TRNR_49ecd878716345958e32467599ccb3ee_249_2" hidden="1">#REF!</definedName>
    <definedName name="TRNR_49ed639da65644539d1295bf034ae163_16_1" hidden="1">#REF!</definedName>
    <definedName name="TRNR_49f8b6d8144d42e38fc7da45b3fce683_578_2" hidden="1">#REF!</definedName>
    <definedName name="TRNR_49fb025f0da544cf8240a900c944dbe4_546_2" hidden="1">#REF!</definedName>
    <definedName name="TRNR_49ff7a5f1f4648048aa864189c8d9269_545_4" hidden="1">#REF!</definedName>
    <definedName name="TRNR_49ff7c66a0934df2acdbdc9d95b7de30_42_7" hidden="1">#REF!</definedName>
    <definedName name="TRNR_4a08621be923487594a05d46ae354e5a_9_1" hidden="1">#REF!</definedName>
    <definedName name="TRNR_4a1160bc37ea4aa08b46fa9082930a18_545_2" hidden="1">#REF!</definedName>
    <definedName name="TRNR_4a29a1725b4049f5bbf0743cd8ed23a3_16_1" hidden="1">#REF!</definedName>
    <definedName name="TRNR_4a364cfb3e1849338d1fd62d7ac1559d_72_1" hidden="1">#REF!</definedName>
    <definedName name="TRNR_4a48672e159344f393ca20f632b7a627_72_2" hidden="1">#REF!</definedName>
    <definedName name="TRNR_4a4a5874ac4547f99df0b751695a4700_196_2" hidden="1">#REF!</definedName>
    <definedName name="TRNR_4a53da34198048d594b970c1ab5bdc27_203_2" hidden="1">#REF!</definedName>
    <definedName name="TRNR_4abd93c580874035a1bdb53b3c0c1dbd_216_2" hidden="1">#REF!</definedName>
    <definedName name="TRNR_4ac15bba261545c3bcb526db5c303e3a_297_2" hidden="1">#REF!</definedName>
    <definedName name="TRNR_4ac3f293c064497e8fe404b2bf1af84c_151_1" hidden="1">#REF!</definedName>
    <definedName name="TRNR_4add2085bec541558e8ec7c004d7f728_10_1" hidden="1">#REF!</definedName>
    <definedName name="TRNR_4aebddbdc69f460485e32b7509705305_621_5" hidden="1">#REF!</definedName>
    <definedName name="TRNR_4af4e669515e49a99b1e3a8121129d25_416_3" hidden="1">#REF!</definedName>
    <definedName name="TRNR_4b017801fa424acb8d261cc2b8d55580_731_2" hidden="1">#REF!</definedName>
    <definedName name="TRNR_4b140f07eee349c691d28a788f9fe170_146_3" hidden="1">#REF!</definedName>
    <definedName name="TRNR_4b393dbae21b450899681d43828442fd_11_3" hidden="1">#REF!</definedName>
    <definedName name="TRNR_4b423b41cfdd4a88831edb820a29a863_138_1" hidden="1">#REF!</definedName>
    <definedName name="TRNR_4b4ec86f9f22496fbffc35390b19cab8_44_3" hidden="1">#REF!</definedName>
    <definedName name="TRNR_4b6afa9608194753aa85efc392a671fa_380_1" hidden="1">#REF!</definedName>
    <definedName name="TRNR_4b74596ff64e47e3abeeeb7f00707617_669_2" hidden="1">#REF!</definedName>
    <definedName name="TRNR_4b75f94ba6f84d63bc372742c487f5a2_348_3" hidden="1">#REF!</definedName>
    <definedName name="TRNR_4b83e43114164d9ca8ee0e53a0c9230b_7_1" hidden="1">#REF!</definedName>
    <definedName name="TRNR_4b8ab688f1394dff916b5afbeb875d92_957_5" hidden="1">#REF!</definedName>
    <definedName name="TRNR_4b8e2205c54242c7824df6325dd69849_420_2" hidden="1">#REF!</definedName>
    <definedName name="TRNR_4b908d452a82466a99fec832263c2386_209_1" hidden="1">#REF!</definedName>
    <definedName name="TRNR_4bc249c3719147d8be6d2e15147a1e97_545_2" hidden="1">#REF!</definedName>
    <definedName name="TRNR_4bd4442431584b6380d12b42c4884008_528_2" hidden="1">#REF!</definedName>
    <definedName name="TRNR_4bd83ec1aff24c9ab9fb783b78af2a3f_339_2" hidden="1">#REF!</definedName>
    <definedName name="TRNR_4bdfbc37e9f44c188bc96f491899068c_13_1" hidden="1">#REF!</definedName>
    <definedName name="TRNR_4be270abdff842ae8e08ecf8912b9d66_319_2" hidden="1">#REF!</definedName>
    <definedName name="TRNR_4c02c377d5744293a7f2d821be886c5a_539_2" hidden="1">#REF!</definedName>
    <definedName name="TRNR_4c079e0c8fab4e4fad2853308b7db09c_303_3" hidden="1">#REF!</definedName>
    <definedName name="TRNR_4c1a59c21b4a485fb968b63bbd46f5ec_377_1" hidden="1">#REF!</definedName>
    <definedName name="TRNR_4c1bf7ec3cb842b2893043e78fc7e30c_16_1" hidden="1">#REF!</definedName>
    <definedName name="TRNR_4c29053a16a8478ba4944b3468dbb811_144_4" hidden="1">#REF!</definedName>
    <definedName name="TRNR_4c2e6ad70d954ffd8c996a2bb687c8c0_13_1" hidden="1">#REF!</definedName>
    <definedName name="TRNR_4c30d6e8310143fca9896190367bc89a_133_1" hidden="1">#REF!</definedName>
    <definedName name="TRNR_4c39a06eaa214cc7adb65b0f3b901d9a_10_1" hidden="1">#REF!</definedName>
    <definedName name="TRNR_4c4be6aeeb394e0eb78d0e8f5f8dfe28_457_1" hidden="1">#REF!</definedName>
    <definedName name="TRNR_4c4f3d5e652b47329321afc744dcd599_536_2" hidden="1">#REF!</definedName>
    <definedName name="TRNR_4c6801f6936e4986b4404fd981de3e5a_13_1" hidden="1">#REF!</definedName>
    <definedName name="TRNR_4c6a28757f604d77888022c56dc56fc7_1333_3" hidden="1">#REF!</definedName>
    <definedName name="TRNR_4c6df3c71d2d4116bf5b8d7113d632e4_522_1" hidden="1">#REF!</definedName>
    <definedName name="TRNR_4c7b7443fa694fb5a778c8a3d7ca0eab_519_2" hidden="1">#REF!</definedName>
    <definedName name="TRNR_4c911e284df445e68bb53c219678d255_398_1" hidden="1">#REF!</definedName>
    <definedName name="TRNR_4cd32ad4ddb44329aab4b4fbc708b552_208_1" hidden="1">#REF!</definedName>
    <definedName name="TRNR_4cd716a8d79b48c48df7b8e3efb86784_442_4" hidden="1">#REF!</definedName>
    <definedName name="TRNR_4cdc07aaa3314a00b19629b176ce467e_43_5" hidden="1">#REF!</definedName>
    <definedName name="TRNR_4cebb0b1ef634b6a8a3e2e36eaf6bcf0_546_4" hidden="1">#REF!</definedName>
    <definedName name="TRNR_4cf31d9041e844c78fba541e8b613968_5_0" hidden="1">#REF!</definedName>
    <definedName name="TRNR_4d01a710a6a44da7a282bb61ef7b870c_115_2" hidden="1">#REF!</definedName>
    <definedName name="TRNR_4d0d2b4439d141e3bf2d05b09528ce58_539_2" hidden="1">#REF!</definedName>
    <definedName name="TRNR_4d21232a411848e6b7860038e6264535_3386_2" hidden="1">#REF!</definedName>
    <definedName name="TRNR_4d3edc06a2b640ea91dea40be075287d_1_1" hidden="1">#REF!</definedName>
    <definedName name="TRNR_4d4224edd75b4d4f80306c3a821a7d42_372_2" hidden="1">#REF!</definedName>
    <definedName name="TRNR_4d55708048e04fe6af6320d865a0520d_16_1" hidden="1">#REF!</definedName>
    <definedName name="TRNR_4d6bf0881a1d4b3889a6ffa8dcc77e04_6_2" hidden="1">#REF!</definedName>
    <definedName name="TRNR_4d90a4a3bb584d3dbe2f7c79087f8753_150_3" hidden="1">#REF!</definedName>
    <definedName name="TRNR_4d93c876347745c481f35d75a88f9fcb_231_3" hidden="1">#REF!</definedName>
    <definedName name="TRNR_4d93d75693be4b17b46bc68b1ad737d5_246_3" hidden="1">#REF!</definedName>
    <definedName name="TRNR_4d95f707d4504d28a2800629f98ac66a_511_4" hidden="1">#REF!</definedName>
    <definedName name="TRNR_4d9950bc78aa489fbcbca49907cb2063_16_1" hidden="1">#REF!</definedName>
    <definedName name="TRNR_4db325633096493985d9efc9d0269a02_272_4" hidden="1">#REF!</definedName>
    <definedName name="TRNR_4db39ccefe8f49b39745f4ab0899f39d_209_1" hidden="1">#REF!</definedName>
    <definedName name="TRNR_4dbe88f975ad4e4894f6b0becaac44a2_122_2" hidden="1">#REF!</definedName>
    <definedName name="TRNR_4dd65cd65c75494e85dd9cccdd8379ce_133_2" hidden="1">#REF!</definedName>
    <definedName name="TRNR_4ddf300ae6a4474c940ec383c5895b98_725_8" hidden="1">#REF!</definedName>
    <definedName name="TRNR_4df4898fac89413dbce698c08a785c82_149_9" hidden="1">#REF!</definedName>
    <definedName name="TRNR_4dffb2cd82b241e68930511b4bc8adff_2080_1" hidden="1">#REF!</definedName>
    <definedName name="TRNR_4e072b6289d7443ca1cba2cd86819eb3_13_1" hidden="1">#REF!</definedName>
    <definedName name="TRNR_4e0e6288f5f34377840209c60dd982f0_288_2" hidden="1">#REF!</definedName>
    <definedName name="TRNR_4e198d7ab6194676866246417a6742a4_13_1" hidden="1">#REF!</definedName>
    <definedName name="TRNR_4e1ab435751042d1b53ccdeff0cd2b7d_9_1" hidden="1">#REF!</definedName>
    <definedName name="TRNR_4e211805921b4144baeab3ac619e6e05_521_1" hidden="1">#REF!</definedName>
    <definedName name="TRNR_4e2f640a25eb46bfa1c821966efec626_10_1" hidden="1">#REF!</definedName>
    <definedName name="TRNR_4e34df87667646efafaaefca7b553b7b_22_1" hidden="1">#REF!</definedName>
    <definedName name="TRNR_4e551cd6b92246edad245a61d46c4d67_13_1" hidden="1">#REF!</definedName>
    <definedName name="TRNR_4e62daed18d841308fde9bdc603a6876_365_3" hidden="1">#REF!</definedName>
    <definedName name="TRNR_4e6d3043abaf4d7fb745a40445dfddeb_310_2" hidden="1">#REF!</definedName>
    <definedName name="TRNR_4e70cee96c7f4b439255d452d9240cf3_144_4" hidden="1">#REF!</definedName>
    <definedName name="TRNR_4e721fef69bf4de095bed42852162bdc_209_3" hidden="1">#REF!</definedName>
    <definedName name="TRNR_4e75c4fb3dd243b98e62aa279574b425_10_1" hidden="1">#REF!</definedName>
    <definedName name="TRNR_4e820370c9894310a457ae7926d687d1_522_2" hidden="1">#REF!</definedName>
    <definedName name="TRNR_4e837d9f15444de2960a170d4b949d72_122_2" hidden="1">#REF!</definedName>
    <definedName name="TRNR_4e98882146d14f4bb4fd8a1445e6babd_228_1" hidden="1">#REF!</definedName>
    <definedName name="TRNR_4ecf615541a74c9789053451db27c838_241_4" hidden="1">#REF!</definedName>
    <definedName name="TRNR_4ed6814b6796440ca69dcffc55c940a7_213_2" hidden="1">#REF!</definedName>
    <definedName name="TRNR_4edb6b3adc2347d6935bdefd671acb87_565_4" hidden="1">#REF!</definedName>
    <definedName name="TRNR_4ef3418fb1e74b898f80f41bbadcb01c_527_1" hidden="1">#REF!</definedName>
    <definedName name="TRNR_4ef92a850bfe4c28b85f5a0f5de2f3d6_275_2" hidden="1">#REF!</definedName>
    <definedName name="TRNR_4f0271fddbb1481bbb52fa4278648e74_13_1" hidden="1">#REF!</definedName>
    <definedName name="TRNR_4f02fab0ebde4c4f8a61635121b0c58a_16_1" hidden="1">#REF!</definedName>
    <definedName name="TRNR_4f0c94ade24b49d0b38d3bc2362a6781_10_1" hidden="1">#REF!</definedName>
    <definedName name="TRNR_4f1548b997f742a39c1e65cd969c4a36_203_2" hidden="1">#REF!</definedName>
    <definedName name="TRNR_4f2988ec63bb44c29b273c84d12beec1_313_2" hidden="1">#REF!</definedName>
    <definedName name="TRNR_4f2c1b55737b4efea9c5075345035dfc_560_2" hidden="1">#REF!</definedName>
    <definedName name="TRNR_4f4be0ade6f84632be6e27477243ae27_35_1" hidden="1">#REF!</definedName>
    <definedName name="TRNR_4f5ceeff71ce46bc970b430c864eb827_377_1" hidden="1">#REF!</definedName>
    <definedName name="TRNR_4f5de01667cd45be86f8d8a49a781868_3_1" hidden="1">#REF!</definedName>
    <definedName name="TRNR_4f7d1194369e411982db81e3c20406f7_13_1" hidden="1">#REF!</definedName>
    <definedName name="TRNR_4f80413e350f401bab0fcfe15721cc4e_3400_2" hidden="1">#REF!</definedName>
    <definedName name="TRNR_4fb0490e70364c18aa9f39d5e6d20af4_10_1" hidden="1">#REF!</definedName>
    <definedName name="TRNR_4fb218dbcd674118bf72d24e4850f550_540_1" hidden="1">#REF!</definedName>
    <definedName name="TRNR_4fd6655799724eac83d3a47c36e40b2e_373_3" hidden="1">#REF!</definedName>
    <definedName name="TRNR_4fef0e5ff5b34a19a55c78ea92078acf_31_4" hidden="1">#REF!</definedName>
    <definedName name="TRNR_500b3826475c4043a35883f4e4b9008a_3395_1" hidden="1">#REF!</definedName>
    <definedName name="TRNR_501c760b41a54b4899b1dac2de11a861_141_2" hidden="1">#REF!</definedName>
    <definedName name="TRNR_502e4a0a2e724e7b89c8d9e6cca8a80f_285_2" hidden="1">#REF!</definedName>
    <definedName name="TRNR_50368753bc2a41528ac37151775448aa_16_1" hidden="1">#REF!</definedName>
    <definedName name="TRNR_504848a534b24ce5b5d6204e7f7ce521_10_1" hidden="1">#REF!</definedName>
    <definedName name="TRNR_5050693ec6084057a116d8f6ec26cac1_231_1" hidden="1">#REF!</definedName>
    <definedName name="TRNR_5055d55ff2a64b9b8d1cea12f25a7d96_43_1" hidden="1">#REF!</definedName>
    <definedName name="TRNR_5060abf7e043490991faef3dff5b3d70_433_3" hidden="1">#REF!</definedName>
    <definedName name="TRNR_5066da4fb8e44611bd0e4bbd586109b8_16_1" hidden="1">#REF!</definedName>
    <definedName name="TRNR_5070b1c4803c4a40b392324c144803e2_13_1" hidden="1">#REF!</definedName>
    <definedName name="TRNR_507b1211820a4765aeb778897787c8a5_37_1" hidden="1">#REF!</definedName>
    <definedName name="TRNR_508b824687774c19966b47ea8bf37942_591_2" hidden="1">#REF!</definedName>
    <definedName name="TRNR_50a50a4b39574d649c11a4e3c48578f7_516_1" hidden="1">#REF!</definedName>
    <definedName name="TRNR_50ad139576544f05b2cf7905062554b0_355_2" hidden="1">#REF!</definedName>
    <definedName name="TRNR_50c10cc70b07461f9b2df5589403afe8_499_2" hidden="1">#REF!</definedName>
    <definedName name="TRNR_50d7a88680204a75a9abe7f932a5796e_583_2" hidden="1">#REF!</definedName>
    <definedName name="TRNR_50e1fdb4d8dc4ae1a0200c6a33e4b4c6_455_2" hidden="1">#REF!</definedName>
    <definedName name="TRNR_50e8b8cae5d0437f97d8d1206e686ce3_133_1" hidden="1">#REF!</definedName>
    <definedName name="TRNR_511362e87d3c4adaa5cae7ebba29a041_11_1" hidden="1">#REF!</definedName>
    <definedName name="TRNR_512586fe16274706a85ce561e12ffa1c_305_2" hidden="1">#REF!</definedName>
    <definedName name="TRNR_5125d87ceb2b44e79c8be6b20d3dc967_144_4" hidden="1">#REF!</definedName>
    <definedName name="TRNR_512607341263421aac1538107288fd66_1187_8" hidden="1">#REF!</definedName>
    <definedName name="TRNR_5129e97439594659b76f136c6472f869_241_2" hidden="1">#REF!</definedName>
    <definedName name="TRNR_5129f55e9c014dc0937a3f82b11fc591_740_2" hidden="1">#REF!</definedName>
    <definedName name="TRNR_512a468750e8448281849ceaec8a291a_353_4" hidden="1">#REF!</definedName>
    <definedName name="TRNR_515662466f044e1487399049aab865ad_2673_1" hidden="1">#REF!</definedName>
    <definedName name="TRNR_5197f09a4e1d468291cae2d3d3f6fd46_354_2" hidden="1">#REF!</definedName>
    <definedName name="TRNR_5198f6b87862482089549fd5f299ac92_16_1" hidden="1">#REF!</definedName>
    <definedName name="TRNR_51a92931b9894fc99e833707bedee8d8_13_1" hidden="1">#REF!</definedName>
    <definedName name="TRNR_51ab88ea737a4cd09af89ee3329b50cd_23_4" hidden="1">#REF!</definedName>
    <definedName name="TRNR_51b0238f1cdf41029f7d161dddf73bac_216_2" hidden="1">#REF!</definedName>
    <definedName name="TRNR_51b668fd737d44d581e4873b691273dd_65_4" hidden="1">#REF!</definedName>
    <definedName name="TRNR_51b8ff6524774e3f8a022c015dac8594_3_1" hidden="1">#REF!</definedName>
    <definedName name="TRNR_51c587484b6e4e7cb3876b98a9f8fd02_459_4" hidden="1">#REF!</definedName>
    <definedName name="TRNR_51e27937cdbf4ee88f4c0ae9a047faa1_7_1" hidden="1">#REF!</definedName>
    <definedName name="TRNR_51e8f43a55664bf9a66084b4e627dbd3_283_8" hidden="1">#REF!</definedName>
    <definedName name="TRNR_51f596a99b37453e8a7aa23c8b798203_16_1" hidden="1">#REF!</definedName>
    <definedName name="TRNR_520380a35f6541bb891a9fc088567390_83_1" hidden="1">#REF!</definedName>
    <definedName name="TRNR_52050e5a80024037825b8ade9a0b2a6f_1037_1" hidden="1">#REF!</definedName>
    <definedName name="TRNR_520734d69ff043d18bbe04f4b99b3542_183_2" hidden="1">#REF!</definedName>
    <definedName name="TRNR_5207725816ef4ffd8bb409ef9d3dc7ee_286_3" hidden="1">#REF!</definedName>
    <definedName name="TRNR_5211bac6ee7248c9b07c9b74d9118659_363_3" hidden="1">#REF!</definedName>
    <definedName name="TRNR_5213bd93bca540438f5b00db41bacb36_205_3" hidden="1">#REF!</definedName>
    <definedName name="TRNR_5238517ddc2648b1b960c7141b7906cb_777_7" hidden="1">#REF!</definedName>
    <definedName name="TRNR_5250c59fca364bdc9a4a7f253fdfce2a_89_3" hidden="1">#REF!</definedName>
    <definedName name="TRNR_526c279659914f438cec3f3dce663bc7_23_3" hidden="1">#REF!</definedName>
    <definedName name="TRNR_5274e6ce375948b0989659941d4d1bea_244_2" hidden="1">#REF!</definedName>
    <definedName name="TRNR_528099ee50e247519bab394b641209fa_88_3" hidden="1">#REF!</definedName>
    <definedName name="TRNR_528bd2f9006149d88d7aca0202883ddb_26_1" hidden="1">#REF!</definedName>
    <definedName name="TRNR_528f492ac0cd47ac818fc4733f342eb0_18_4" hidden="1">#REF!</definedName>
    <definedName name="TRNR_52ae96100ac442b59ad98865819a1964_311_2" hidden="1">#REF!</definedName>
    <definedName name="TRNR_52c10c4a34984052a6ea263b55035ace_153_1" hidden="1">#REF!</definedName>
    <definedName name="TRNR_52fee1124ec445f6998ace6601dac880_496_1" hidden="1">#REF!</definedName>
    <definedName name="TRNR_5317794065d54e1cbe2539915c75e9ae_16_1" hidden="1">#REF!</definedName>
    <definedName name="TRNR_5319f03fe1834c78a65eb4fd112ce24c_10_1" hidden="1">#REF!</definedName>
    <definedName name="TRNR_531b56201d4844889e9e503fe24890cf_7_1" hidden="1">#REF!</definedName>
    <definedName name="TRNR_532827d364fd4fb284e39eeb2f09b6e8_10_1" hidden="1">#REF!</definedName>
    <definedName name="TRNR_5363eb43603b491abf7dce0b303e32de_115_1" hidden="1">#REF!</definedName>
    <definedName name="TRNR_5364f82d641b47219e4364b29c86928d_1333_3" hidden="1">#REF!</definedName>
    <definedName name="TRNR_53850c0a2bb044dfad61d19b80baca43_1_7" hidden="1">#REF!</definedName>
    <definedName name="TRNR_538dea92bb104d0cb8336c49629ebdc8_1187_7" hidden="1">#REF!</definedName>
    <definedName name="TRNR_539429d32db94bc9a7d416037a7f250d_512_4" hidden="1">#REF!</definedName>
    <definedName name="TRNR_5395540918ba4bc3a3110a4c137009f5_485_4" hidden="1">#REF!</definedName>
    <definedName name="TRNR_53aa470cb5c44e47ab1b7a792fd1e8e3_308_2" hidden="1">#REF!</definedName>
    <definedName name="TRNR_53c3f222564f47a4879efdf287f29270_23_4" hidden="1">#REF!</definedName>
    <definedName name="TRNR_53ce51be83cf4a15bf7fa052e6abd3b4_401_3" hidden="1">#REF!</definedName>
    <definedName name="TRNR_53d804d66fe84f65ae1f3728edfb521a_275_2" hidden="1">#REF!</definedName>
    <definedName name="TRNR_53df8cc0050b414f9867e58a25c05ebc_365_3" hidden="1">#REF!</definedName>
    <definedName name="TRNR_53e6d5382f3a470cb1f2a2e749fe9788_49_6" hidden="1">#REF!</definedName>
    <definedName name="TRNR_53ea6cd2b4844caba1e22ccd776d7d67_346_3" hidden="1">#REF!</definedName>
    <definedName name="TRNR_5402749c73e94e6ab3c482ef6db3a203_372_1" hidden="1">#REF!</definedName>
    <definedName name="TRNR_5408e38bf6554b4885ccab37da4187ae_2_10" hidden="1">#REF!</definedName>
    <definedName name="TRNR_5412b631a2094338a0eb6d5af6e5556c_405_2" hidden="1">#REF!</definedName>
    <definedName name="TRNR_5419c8b6589a4a52a94e43a9554a1fb4_300_2" hidden="1">#REF!</definedName>
    <definedName name="TRNR_54267f938d8d4aaabcd33f1e86267181_11_2" hidden="1">#REF!</definedName>
    <definedName name="TRNR_542ee5ee00314300a86ea6f30aedec2d_457_3" hidden="1">#REF!</definedName>
    <definedName name="TRNR_5435d4489db34354a205322aee3ea62b_323_2" hidden="1">#REF!</definedName>
    <definedName name="TRNR_543742b88ed34af6b5b2adf5212a80df_125_1" hidden="1">#REF!</definedName>
    <definedName name="TRNR_543d24c0cd9f4fff856d5efeadae074f_33_4" hidden="1">#REF!</definedName>
    <definedName name="TRNR_54411a84771f4728a6a3adb694bc5aef_7_1" hidden="1">#REF!</definedName>
    <definedName name="TRNR_5451c49ea88d40399275448cd5f76c53_761_8" hidden="1">#REF!</definedName>
    <definedName name="TRNR_5458f159bcd345b994db74cee916697b_241_2" hidden="1">#REF!</definedName>
    <definedName name="TRNR_545ebc899af94e03b92a22bc0e8e8f3a_452_4" hidden="1">#REF!</definedName>
    <definedName name="TRNR_5476d5589eae4f5281ef5c4b041a3160_591_1" hidden="1">#REF!</definedName>
    <definedName name="TRNR_5479ee12f57b4bb5a7862f847f606e91_623_2" hidden="1">#REF!</definedName>
    <definedName name="TRNR_54870b512e094b4c94aba86f1717d3dc_16_1" hidden="1">#REF!</definedName>
    <definedName name="TRNR_54a6083e1f7e41c7a9e4a87dc82c061e_156_1" hidden="1">#REF!</definedName>
    <definedName name="TRNR_54a725b5dba74ba0b37aebff7a542e12_132_2" hidden="1">#REF!</definedName>
    <definedName name="TRNR_54b0edde30954931966d74b660d79e77_311_2" hidden="1">#REF!</definedName>
    <definedName name="TRNR_54c46516b1bb48a282716fd793e1f27e_365_1" hidden="1">#REF!</definedName>
    <definedName name="TRNR_54df2c0c08ff413ea8f012131dac92e3_241_1" hidden="1">#REF!</definedName>
    <definedName name="TRNR_54e142f4e31a4ee6b25aba67c1d9e07f_534_2" hidden="1">#REF!</definedName>
    <definedName name="TRNR_54e2df2980544468aa4ac12655dab3d4_455_2" hidden="1">#REF!</definedName>
    <definedName name="TRNR_54f62d551a4c4b149aaf9278f8b6a2ac_741_2" hidden="1">#REF!</definedName>
    <definedName name="TRNR_55310c4b76fd467db4dcae584d6498fd_23_4" hidden="1">#REF!</definedName>
    <definedName name="TRNR_553f98e93b124e729b62f139d8f471d0_13_1" hidden="1">#REF!</definedName>
    <definedName name="TRNR_5550e72c1b944b188c7adde4731a956f_215_2" hidden="1">#REF!</definedName>
    <definedName name="TRNR_55518c12ed9a462b822ff7cb3cb56400_42_6" hidden="1">#REF!</definedName>
    <definedName name="TRNR_5552dd73797d44d797f78206b30ab8b1_203_14" hidden="1">#REF!</definedName>
    <definedName name="TRNR_557e49b438c64eea899d8b07744ff84a_575_2" hidden="1">#REF!</definedName>
    <definedName name="TRNR_55a56c7530204a0ebd16a6da6561fc3e_13_1" hidden="1">#REF!</definedName>
    <definedName name="TRNR_55abd7edcf514cdd8ff419566c37bd0d_13_1" hidden="1">#REF!</definedName>
    <definedName name="TRNR_55ad0141129f4e66bfa7f15f113c9e07_7_1" hidden="1">#REF!</definedName>
    <definedName name="TRNR_55ad0c617c1040fb935cb524be2b253a_246_2" hidden="1">#REF!</definedName>
    <definedName name="TRNR_55b449abf15f4377960c0c54e2178e0d_353_2" hidden="1">#REF!</definedName>
    <definedName name="TRNR_55b967df13d14d2fb26eab309fa4d496_202_2" hidden="1">#REF!</definedName>
    <definedName name="TRNR_55bcd628f97948cbb13d4977f7d6841d_13_1" hidden="1">#REF!</definedName>
    <definedName name="TRNR_55be628b106f4d00aecf2e862d5c8cb6_356_3" hidden="1">#REF!</definedName>
    <definedName name="TRNR_55c2268ae2dd4c809db1dcc439fdbffb_241_2" hidden="1">#REF!</definedName>
    <definedName name="TRNR_55c70ffeda754897be0ce202cea91d1f_93_1" hidden="1">#REF!</definedName>
    <definedName name="TRNR_55dea8c471404ee2bea548f709a34a23_144_2" hidden="1">#REF!</definedName>
    <definedName name="TRNR_560093d1244c46ad886d84247adf657f_553_4" hidden="1">#REF!</definedName>
    <definedName name="TRNR_563629a259e5497bb529592d62564dbd_9_1" hidden="1">#REF!</definedName>
    <definedName name="TRNR_563de916c90e467fb1f5eded2b7c76bc_455_2" hidden="1">#REF!</definedName>
    <definedName name="TRNR_56452b52c89548dd83f339069a445166_391_2" hidden="1">#REF!</definedName>
    <definedName name="TRNR_564a8c4188f4455bb9bfffadc68e57b2_120_1" hidden="1">#REF!</definedName>
    <definedName name="TRNR_56628916887d46ec88080e709cf4c1ab_16_1" hidden="1">#REF!</definedName>
    <definedName name="TRNR_5673cc512f49407b9c472e343da43ab9_528_1" hidden="1">#REF!</definedName>
    <definedName name="TRNR_56775fff4d014057b6c94f84bf6e9687_1037_1" hidden="1">#REF!</definedName>
    <definedName name="TRNR_567f793b5aa54c36b0de59b41f3bcb68_11_1" hidden="1">#REF!</definedName>
    <definedName name="TRNR_56841a2786034dfc897ef602895ea8e9_319_2" hidden="1">#REF!</definedName>
    <definedName name="TRNR_56882294d2224342b4bd1fb3dc7f2817_9_1" hidden="1">#REF!</definedName>
    <definedName name="TRNR_5690e093a42f4a1fb07715002df57102_13_1" hidden="1">#REF!</definedName>
    <definedName name="TRNR_5697d4bd7d804497979d95052e422d68_523_1" hidden="1">#REF!</definedName>
    <definedName name="TRNR_56f526d708f944cc8418ce4d84bad632_829_8" hidden="1">#REF!</definedName>
    <definedName name="TRNR_56fea01fad66478198c1bb8ed14d12db_497_2" hidden="1">#REF!</definedName>
    <definedName name="TRNR_57051835c33d4f739ae012ca02093ad0_275_2" hidden="1">#REF!</definedName>
    <definedName name="TRNR_570da66914994b2c84e9696ad508421b_353_4" hidden="1">#REF!</definedName>
    <definedName name="TRNR_57104a49b8a24d3189f4e4edc9eaec51_544_2" hidden="1">#REF!</definedName>
    <definedName name="TRNR_5710b703ceda43b9b3e8398c523e2808_203_2" hidden="1">#REF!</definedName>
    <definedName name="TRNR_573578e600984d42aa3109aa2060884a_1757_3" hidden="1">#REF!</definedName>
    <definedName name="TRNR_573ffcd15c47442fbe4970490534c751_13_1" hidden="1">#REF!</definedName>
    <definedName name="TRNR_574226b3a6094424af8d3edda5305530_76_7" hidden="1">#REF!</definedName>
    <definedName name="TRNR_575392f8a68b413098a59e82db914080_416_3" hidden="1">#REF!</definedName>
    <definedName name="TRNR_57647802eaf04dc6aa0203d0fe5c0207_590_1" hidden="1">#REF!</definedName>
    <definedName name="TRNR_5768de38f6684c3d8b20dd2e72485118_162_1" hidden="1">#REF!</definedName>
    <definedName name="TRNR_5771e7ebd11c48ca824e262f6e101b4e_45_2" hidden="1">#REF!</definedName>
    <definedName name="TRNR_57741b6894784bb780d3371b6eafc1c6_241_4" hidden="1">#REF!</definedName>
    <definedName name="TRNR_57866bd6a02149598ef0141607dd6854_571_2" hidden="1">#REF!</definedName>
    <definedName name="TRNR_579a1a93559e4fd69314556cd678cf98_5_0" hidden="1">#REF!</definedName>
    <definedName name="TRNR_57a5b4b63ec74d27b96c80fb9e076823_373_6" hidden="1">#REF!</definedName>
    <definedName name="TRNR_57abc6acdff54de288432fe321e65fac_10_1" hidden="1">#REF!</definedName>
    <definedName name="TRNR_57bfe4a3e27b4870b3fe049e1d6513fb_16_1" hidden="1">#REF!</definedName>
    <definedName name="TRNR_57c16197dee944ae838a744527e74e7d_149_4" hidden="1">#REF!</definedName>
    <definedName name="TRNR_57c5bf110cc84471bdf301d792c3b2fe_262_4" hidden="1">#REF!</definedName>
    <definedName name="TRNR_57e9a9921bd944c1b3c5d402824ded11_9_1" hidden="1">#REF!</definedName>
    <definedName name="TRNR_57ec85d84db34d22a3ec0d9b8087a99c_16_1" hidden="1">#REF!</definedName>
    <definedName name="TRNR_57ff26bbf42a466baedc3cf30635536f_9_1" hidden="1">#REF!</definedName>
    <definedName name="TRNR_58030efdfd974a9dad5ea6330fd4e96d_536_2" hidden="1">#REF!</definedName>
    <definedName name="TRNR_5805d3d778c440ad9a9d9938900570cd_532_1" hidden="1">#REF!</definedName>
    <definedName name="TRNR_5809eaefdd4245309d2a2c22b9fe09a1_379_3" hidden="1">#REF!</definedName>
    <definedName name="TRNR_5831ea31aa834f7795b8dc1c82a8b3be_589_2" hidden="1">#REF!</definedName>
    <definedName name="TRNR_58398c5139b84118a8faed8eec7cd93b_679_2" hidden="1">#REF!</definedName>
    <definedName name="TRNR_583b9344d49a4b37b7529eedd2841f48_162_1" hidden="1">#REF!</definedName>
    <definedName name="TRNR_584298a377a64cf6b6148bd0e138e0f5_283_2" hidden="1">#REF!</definedName>
    <definedName name="TRNR_584424b997b449c79371930ec123aed9_149_2" hidden="1">#REF!</definedName>
    <definedName name="TRNR_584bd5fa902445c8b35b00ad5a097cbe_2676_1" hidden="1">#REF!</definedName>
    <definedName name="TRNR_584d6c413a83455d847d62b9aed1e761_13_1" hidden="1">#REF!</definedName>
    <definedName name="TRNR_58a62be9b747446eb979148322c7dfa8_313_3" hidden="1">#REF!</definedName>
    <definedName name="TRNR_58a77e83c5174f23b73c89f4452155a5_315_4" hidden="1">#REF!</definedName>
    <definedName name="TRNR_58bd887a016b4354af695a1f10ce82a0_16_1" hidden="1">#REF!</definedName>
    <definedName name="TRNR_58ca61504fe841f4bdac8c47d019429d_546_4" hidden="1">#REF!</definedName>
    <definedName name="TRNR_58d0f44070be46e08024a004e9dd5abb_13_1" hidden="1">#REF!</definedName>
    <definedName name="TRNR_59015bf58a10427d9a23831a2d429dee_10_1" hidden="1">#REF!</definedName>
    <definedName name="TRNR_59058fe14f724bbe9119112b3835863a_88_3" hidden="1">#REF!</definedName>
    <definedName name="TRNR_591793dfe82a4c158f394b9999cc6a1e_526_8" hidden="1">#REF!</definedName>
    <definedName name="TRNR_592bfa30f3a74fff83e17b1b1ae0e282_81_1" hidden="1">#REF!</definedName>
    <definedName name="TRNR_592c858b0dba41a39510712c949ded9a_32_4" hidden="1">#REF!</definedName>
    <definedName name="TRNR_5946fdacd4554e449da0dc67c1de4114_72_2" hidden="1">#REF!</definedName>
    <definedName name="TRNR_5950697dccaf4b6ba5493941b69b0dff_719_4" hidden="1">#REF!</definedName>
    <definedName name="TRNR_595093564c214e688cbdf11842a28dfe_574_2" hidden="1">#REF!</definedName>
    <definedName name="TRNR_595849ddc2564f6cab4716ca3774d343_812_7" hidden="1">#REF!</definedName>
    <definedName name="TRNR_5961a0195997425d9f9d4798181b1047_81_6" hidden="1">#REF!</definedName>
    <definedName name="TRNR_59698f830b5f49f3a9ab6db6723370ec_9_1" hidden="1">#REF!</definedName>
    <definedName name="TRNR_596c0b1dc82541868ffda4ae74a745b5_356_3" hidden="1">#REF!</definedName>
    <definedName name="TRNR_596f0eff5a1c4e25afb6045634df8588_413_3" hidden="1">#REF!</definedName>
    <definedName name="TRNR_597ad825fe98446bb4809904ca8c9de7_89_3" hidden="1">#REF!</definedName>
    <definedName name="TRNR_599d195390cf41699eac5bc81d9a14f6_13_1" hidden="1">#REF!</definedName>
    <definedName name="TRNR_59a121d9f3b745b6bded8a8aeecb8af0_527_1" hidden="1">#REF!</definedName>
    <definedName name="TRNR_59b72302ffcc4d8d954616b9fa19b683_59_4" hidden="1">#REF!</definedName>
    <definedName name="TRNR_59cd1025d89047ef8c1848e172379ded_209_2" hidden="1">#REF!</definedName>
    <definedName name="TRNR_59ed07bd99e34193853eb345b7f92979_1007_8" hidden="1">#REF!</definedName>
    <definedName name="TRNR_59f5c437d2114742a8852298842c15e1_513_2" hidden="1">#REF!</definedName>
    <definedName name="TRNR_5a178535932743b498b82fc72e6589d1_23_4" hidden="1">#REF!</definedName>
    <definedName name="TRNR_5a18a4bd32a544c684e9966d54dd87ab_882_7" hidden="1">#REF!</definedName>
    <definedName name="TRNR_5a1e8b512938491e858021803dee538f_304_1" hidden="1">#REF!</definedName>
    <definedName name="TRNR_5a216766b4974c5399ad16cdf0f82882_530_1" hidden="1">#REF!</definedName>
    <definedName name="TRNR_5a2c50b69de541919e372e8c6590113c_527_2" hidden="1">#REF!</definedName>
    <definedName name="TRNR_5a2fac6fa4be4fc4be639c724bfb12a6_16_1" hidden="1">#REF!</definedName>
    <definedName name="TRNR_5a4c2040a3f14a23a92b8d4118ef3171_16_1" hidden="1">#REF!</definedName>
    <definedName name="TRNR_5a573d87cf6f490aba4430a3d8e1831b_274_1" hidden="1">#REF!</definedName>
    <definedName name="TRNR_5a79cbd2a1a3446797a5e78e1884225b_72_2" hidden="1">#REF!</definedName>
    <definedName name="TRNR_5a8be6d1fb164fe981684602306b1c4f_9_1" hidden="1">#REF!</definedName>
    <definedName name="TRNR_5a8d5ff54bb44cb3983c2796627c28af_515_4" hidden="1">#REF!</definedName>
    <definedName name="TRNR_5a92b5139df341e999f7387896f4bef2_323_2" hidden="1">#REF!</definedName>
    <definedName name="TRNR_5a96ecd07e7f4abf86306041d27b3740_468_3" hidden="1">#REF!</definedName>
    <definedName name="TRNR_5a975429e0a74ca495d597dc347bdc4a_425_2" hidden="1">#REF!</definedName>
    <definedName name="TRNR_5aad60e19b51494db8ce2f0de2ecf15c_225_3" hidden="1">#REF!</definedName>
    <definedName name="TRNR_5ac94e8bafaa4a82ba26a8563d3bec5d_9872_2" hidden="1">#REF!</definedName>
    <definedName name="TRNR_5ad4ca8c4bcb4a30823b931fbf075e69_1277_8" hidden="1">#REF!</definedName>
    <definedName name="TRNR_5adb407c33b64edcac1b1b5a7203432b_7_1" hidden="1">#REF!</definedName>
    <definedName name="TRNR_5af118b2a4c645eb86948b6d76fac9fe_62_8" hidden="1">#REF!</definedName>
    <definedName name="TRNR_5b14e37dde854d80a689f7f43fae663e_376_6" hidden="1">#REF!</definedName>
    <definedName name="TRNR_5b15ac52c59c4e028064460a406ae919_217_2" hidden="1">#REF!</definedName>
    <definedName name="TRNR_5b1859710e6a427ab172717b15c0ff35_668_2" hidden="1">#REF!</definedName>
    <definedName name="TRNR_5b1ccc3cc2e54fe8898831c8b25caf6e_240_3" hidden="1">#REF!</definedName>
    <definedName name="TRNR_5b23f93b155f4b49aed79564b2faaac3_209_1" hidden="1">#REF!</definedName>
    <definedName name="TRNR_5b2a62c1e5db44bfbb3d77df93fdba57_163_2" hidden="1">#REF!</definedName>
    <definedName name="TRNR_5b3519f89c8b4002bb9f8d03cf9cd75f_144_4" hidden="1">#REF!</definedName>
    <definedName name="TRNR_5b374f27bcb84fe1b535a47af4881369_419_4" hidden="1">#REF!</definedName>
    <definedName name="TRNR_5b40b2a01819475a85e333612fd94a8a_133_2" hidden="1">#REF!</definedName>
    <definedName name="TRNR_5b412dbeecab416da5f657ec63b1c110_13_1" hidden="1">#REF!</definedName>
    <definedName name="TRNR_5b5fa6d297dc488d9d09b6c6cdde2a31_106_2" hidden="1">#REF!</definedName>
    <definedName name="TRNR_5b7e5a5740b74b2fb3ed146b47408716_437_3" hidden="1">#REF!</definedName>
    <definedName name="TRNR_5b8998629cb14d44ac2684f54f255cf3_9_1" hidden="1">#REF!</definedName>
    <definedName name="TRNR_5b97e974965949aa8babffcdd9c39948_124_2" hidden="1">#REF!</definedName>
    <definedName name="TRNR_5b9a3998f9464a7b86b338cb275af53b_397_4" hidden="1">#REF!</definedName>
    <definedName name="TRNR_5b9af77f20884e58849dc0ba5cc1c414_23_4" hidden="1">#REF!</definedName>
    <definedName name="TRNR_5ba3b9699b5c484c883c64511ec454fa_146_1" hidden="1">#REF!</definedName>
    <definedName name="TRNR_5bb16bd8c93c4ee4b1ff7a01b5795e6c_13_1" hidden="1">#REF!</definedName>
    <definedName name="TRNR_5be5631c92fb4bf5a5d10cc1a59bb3bb_756_2" hidden="1">#REF!</definedName>
    <definedName name="TRNR_5bf327ec8ab447e2ba244cccf4abf0c7_419_3" hidden="1">#REF!</definedName>
    <definedName name="TRNR_5c0aa389c4d84d9c9a5764135c1fc836_275_2" hidden="1">#REF!</definedName>
    <definedName name="TRNR_5c11c9338de448e69984669cac17e8a5_386_2" hidden="1">#REF!</definedName>
    <definedName name="TRNR_5c127ef0d0064c78995df5b4af5dd5ae_16_1" hidden="1">#REF!</definedName>
    <definedName name="TRNR_5c19f023071d46a3bcd7bdcb16aac145_10_1" hidden="1">#REF!</definedName>
    <definedName name="TRNR_5c1d51bc7e5f440d8bc7c2ec9bb323c5_546_4" hidden="1">#REF!</definedName>
    <definedName name="TRNR_5c2245295a614fbfbf6d67687cf8af3a_583_2" hidden="1">#REF!</definedName>
    <definedName name="TRNR_5c25a92e354648daa7ac3a0c824bff47_418_3" hidden="1">#REF!</definedName>
    <definedName name="TRNR_5c35fbe28bbb46a499125fb2867a7c39_94_2" hidden="1">#REF!</definedName>
    <definedName name="TRNR_5c3a518ef7e0481d87528ae4f922aa9e_372_1" hidden="1">#REF!</definedName>
    <definedName name="TRNR_5c40506380ef47679433a591ab9787d0_241_1" hidden="1">#REF!</definedName>
    <definedName name="TRNR_5c4ded6ae1c14c468b0ee213a22a34ef_539_1" hidden="1">#REF!</definedName>
    <definedName name="TRNR_5c579782e1a941be8fa5436c113502bf_301_2" hidden="1">#REF!</definedName>
    <definedName name="TRNR_5c5941b95bd4498992c7d88b172e7c12_552_2" hidden="1">#REF!</definedName>
    <definedName name="TRNR_5c68f4fccec4488797be4aa2442c9d9d_10_1" hidden="1">#REF!</definedName>
    <definedName name="TRNR_5c90c154a8fe464a8ef5f8927765e4ab_205_2" hidden="1">#REF!</definedName>
    <definedName name="TRNR_5c951f2d7b424b71a20fefd19c555c98_9_1" hidden="1">#REF!</definedName>
    <definedName name="TRNR_5c9648e44ed44fd8b7cf52590c14b063_156_3" hidden="1">#REF!</definedName>
    <definedName name="TRNR_5c9d2637829f4b79bd55a3485c6eb4ff_545_2" hidden="1">#REF!</definedName>
    <definedName name="TRNR_5cb4440f9d284e81b438b2da8353f918_191_2" hidden="1">#REF!</definedName>
    <definedName name="TRNR_5cbd58963db34baaafb38b7be3aea8cf_335_2" hidden="1">#REF!</definedName>
    <definedName name="TRNR_5cc15f11ef7248858bef3f96e4bd69c2_5_0" hidden="1">#REF!</definedName>
    <definedName name="TRNR_5cdead4e417c4675a5de301ee424eef7_316_2" hidden="1">#REF!</definedName>
    <definedName name="TRNR_5ce9f40f825242e38962e846c4acd3c9_629_2" hidden="1">#REF!</definedName>
    <definedName name="TRNR_5cebbe5624a94e43bd1bf7c7d9b9cb14_1017_5" hidden="1">#REF!</definedName>
    <definedName name="TRNR_5cef90c2e6344b98805c519add68a77c_9_1" hidden="1">#REF!</definedName>
    <definedName name="TRNR_5cf1ccbee9ae405488ae28f8d6cc1765_14_1" hidden="1">#REF!</definedName>
    <definedName name="TRNR_5cf27d723a42403b8caedfb78506b8f4_118_2" hidden="1">#REF!</definedName>
    <definedName name="TRNR_5d08ba2bb7d0447990c7a084fac81be8_622_2" hidden="1">#REF!</definedName>
    <definedName name="TRNR_5d0c3fb398b546b9b572a00ee1757faf_285_7" hidden="1">#REF!</definedName>
    <definedName name="TRNR_5d24b6db865c4a24ad574f93b40ed7e4_36_1" hidden="1">#REF!</definedName>
    <definedName name="TRNR_5d304fed7d054d6083d6d47bb4ca7285_266_1" hidden="1">#REF!</definedName>
    <definedName name="TRNR_5d508b3bd91749b2ad4fa73da9288784_564_4" hidden="1">#REF!</definedName>
    <definedName name="TRNR_5d537059a5e84a728569cf78163cb43a_545_2" hidden="1">#REF!</definedName>
    <definedName name="TRNR_5d6566de1bf8402fa7218bc1900794b4_16_1" hidden="1">#REF!</definedName>
    <definedName name="TRNR_5d74af787b624831b2ee334a7c4ef92e_5220_2" hidden="1">#REF!</definedName>
    <definedName name="TRNR_5d9638ef52524db5997f35308d65af8b_389_2" hidden="1">#REF!</definedName>
    <definedName name="TRNR_5d9b938d30464ce8b0946433c921d1f3_310_2" hidden="1">#REF!</definedName>
    <definedName name="TRNR_5db4394e4eea4e328757917208797670_169_2" hidden="1">#REF!</definedName>
    <definedName name="TRNR_5db5d983fa5247aab905b23cfcafbf09_13_1" hidden="1">#REF!</definedName>
    <definedName name="TRNR_5dd58ec5ec9d4c37850cbf5154ccacdc_191_2" hidden="1">#REF!</definedName>
    <definedName name="TRNR_5ddd08068c7741ac9397a268779c86d7_23_4" hidden="1">#REF!</definedName>
    <definedName name="TRNR_5dde7046af1245f08d493954beae4c21_9_1" hidden="1">#REF!</definedName>
    <definedName name="TRNR_5e0206c8bb534ff3a9921675a6109c37_584_2" hidden="1">#REF!</definedName>
    <definedName name="TRNR_5e028cc7faae4eddbd8524d4af671cc8_546_5" hidden="1">#REF!</definedName>
    <definedName name="TRNR_5e248f4252544e569d755dabbd2ceada_267_2" hidden="1">#REF!</definedName>
    <definedName name="TRNR_5e4d1403029c4dfda6de1af9b604f5e8_463_4" hidden="1">#REF!</definedName>
    <definedName name="TRNR_5e5f908e77cd455c8634e915cf7246b0_16_1" hidden="1">#REF!</definedName>
    <definedName name="TRNR_5e777dd40bba43dcbd5ab3e9d86a5112_122_2" hidden="1">#REF!</definedName>
    <definedName name="TRNR_5e7bd54bc85649c18a3e327756b8f59b_9_1" hidden="1">#REF!</definedName>
    <definedName name="TRNR_5e982b2b98bc447caa582246b93e7eae_7_1" hidden="1">#REF!</definedName>
    <definedName name="TRNR_5e9cccf47b22489488f95528373d1c00_377_1" hidden="1">#REF!</definedName>
    <definedName name="TRNR_5eabb8fd0e764d8f9ecf1623cacc5ac3_188_2" hidden="1">#REF!</definedName>
    <definedName name="TRNR_5ec9008a261843489cebd6f1b3a38c32_115_2" hidden="1">#REF!</definedName>
    <definedName name="TRNR_5ed65e8d428040cd973ee717e800b38d_454_3" hidden="1">#REF!</definedName>
    <definedName name="TRNR_5edcb1c0fb744b2b8ad58ec9e0cfa7c1_528_1" hidden="1">#REF!</definedName>
    <definedName name="TRNR_5ee8f1d4b8274c0bb116e32324dfcbd0_507_1" hidden="1">#REF!</definedName>
    <definedName name="TRNR_5ef9455bdc93499ea0174de82a5bb434_853_6" hidden="1">#REF!</definedName>
    <definedName name="TRNR_5f17766d66a74cd08fdfd22d4f4e44ff_202_2" hidden="1">#REF!</definedName>
    <definedName name="TRNR_5f2166b09edc4551965159c3ddf4d4fe_131_2" hidden="1">#REF!</definedName>
    <definedName name="TRNR_5f50a90cbb2d460cb4d5d47b3412c1c3_13_1" hidden="1">#REF!</definedName>
    <definedName name="TRNR_5f697a93a31048bebdf6759c0892e568_544_1" hidden="1">#REF!</definedName>
    <definedName name="TRNR_5fabf1504b53496d941570463f22453d_11_4" hidden="1">#REF!</definedName>
    <definedName name="TRNR_5fb47651f33841a09d47765c0ea4c51e_546_2" hidden="1">#REF!</definedName>
    <definedName name="TRNR_5fb7306927aa40bb82af082b73d948ba_275_2" hidden="1">#REF!</definedName>
    <definedName name="TRNR_5fb74e09fc4f436fb0edeefc69f84df9_22_13" hidden="1">#REF!</definedName>
    <definedName name="TRNR_5fbfd862545b4a988f9566eb7b94147a_584_2" hidden="1">#REF!</definedName>
    <definedName name="TRNR_5fc871c20fd6414985f46c29cecde749_1037_1" hidden="1">#REF!</definedName>
    <definedName name="TRNR_5fceca8ff937411aac35f31cd51a4db6_388_3" hidden="1">#REF!</definedName>
    <definedName name="TRNR_5ffea2b383534c009d69d452f231700f_16_1" hidden="1">#REF!</definedName>
    <definedName name="TRNR_6012820c00534d1b8c8e9fddcf3f2af4_79_1" hidden="1">#REF!</definedName>
    <definedName name="TRNR_6047bdc14b7c44daa99a8be6b3366738_97_1" hidden="1">#REF!</definedName>
    <definedName name="TRNR_60617dfec019429aa1f80925ceab44d8_133_2" hidden="1">#REF!</definedName>
    <definedName name="TRNR_606ba4d452e54e26a9d4674bd2a0ebf7_203_13" hidden="1">#REF!</definedName>
    <definedName name="TRNR_606ecaa5c2ef421e92c75cee9d26a6d2_371_3" hidden="1">#REF!</definedName>
    <definedName name="TRNR_6071562d7cd0449685c98c4f3ff8597c_16_1" hidden="1">#REF!</definedName>
    <definedName name="TRNR_607c51a5e4804e518ab93a33d4e2cbf1_13_1" hidden="1">#REF!</definedName>
    <definedName name="TRNR_607f120d485c4acd8fe0785a062475fe_63_1" hidden="1">#REF!</definedName>
    <definedName name="TRNR_60842a1c69e546ff8a528eb218444416_31_4" hidden="1">#REF!</definedName>
    <definedName name="TRNR_60bd892ee7904b1c87d3fb635adfbb33_42_7" hidden="1">#REF!</definedName>
    <definedName name="TRNR_60d223e4bfb5412998fea6188c93a074_229_2" hidden="1">#REF!</definedName>
    <definedName name="TRNR_60d8f119cdcc4e389c568a520686128f_3131_2" hidden="1">#REF!</definedName>
    <definedName name="TRNR_60ee6d71f8b44c09ad7eebee8d940063_337_2" hidden="1">#REF!</definedName>
    <definedName name="TRNR_60f6dd5c431f4636b2dae9cc507f8b14_44_7" hidden="1">#REF!</definedName>
    <definedName name="TRNR_61094c8c811f439dad648b13936859f3_1426_3" hidden="1">#REF!</definedName>
    <definedName name="TRNR_611b11ffa5524facb83be358379e1cbb_10_1" hidden="1">#REF!</definedName>
    <definedName name="TRNR_612dda2be6fc462e995a352288e2f649_616_2" hidden="1">#REF!</definedName>
    <definedName name="TRNR_612f5c6f2af445b284ca3bd7da037950_260_1" hidden="1">#REF!</definedName>
    <definedName name="TRNR_6130cc31b5944ba7afe2ec48b874d5b6_1295_8" hidden="1">#REF!</definedName>
    <definedName name="TRNR_615b6d412b7848bc95404b410b1dc65f_346_3" hidden="1">#REF!</definedName>
    <definedName name="TRNR_6160d487e1714545b8d77141a83b58b1_285_2" hidden="1">#REF!</definedName>
    <definedName name="TRNR_61636421b2ad420c966d9ae80c91205a_786_5" hidden="1">#REF!</definedName>
    <definedName name="TRNR_61712e052cfc4042812d4a0da706381e_10_1" hidden="1">#REF!</definedName>
    <definedName name="TRNR_619bfa55fd7240b6ab3146ef417ad1ee_833_2" hidden="1">#REF!</definedName>
    <definedName name="TRNR_61ab4ed90ddc46d2838740106c945074_1277_8" hidden="1">#REF!</definedName>
    <definedName name="TRNR_61b84c3989434d09b5bbc69c96be476e_434_3" hidden="1">#REF!</definedName>
    <definedName name="TRNR_61cd01276e1946fc8400194b8313d5a3_590_2" hidden="1">#REF!</definedName>
    <definedName name="TRNR_61cf06ca078446e5a4c3aed737e3e7af_35_1" hidden="1">#REF!</definedName>
    <definedName name="TRNR_61d5d57f61b9499980652985e9e6fa96_1067_7" hidden="1">#REF!</definedName>
    <definedName name="TRNR_61db71ce6e0d46f586e0e015da2d74b6_37_1" hidden="1">#REF!</definedName>
    <definedName name="TRNR_61fa9090ac924ee2820a11a11b5d713a_372_1" hidden="1">#REF!</definedName>
    <definedName name="TRNR_622fdd8c5d2a48b08cb39159c264b705_460_1" hidden="1">#REF!</definedName>
    <definedName name="TRNR_625cee4f32844db88c5d437010175804_2005_4" hidden="1">#REF!</definedName>
    <definedName name="TRNR_627daaa148034966bae1db7911244668_13_1" hidden="1">#REF!</definedName>
    <definedName name="TRNR_628e19c4c4f342dd8e156c810016065d_767_6" hidden="1">#REF!</definedName>
    <definedName name="TRNR_628e24847f904a17a1546115cb04ab8b_432_2" hidden="1">#REF!</definedName>
    <definedName name="TRNR_628ed7ebee1149e681cc160da42d594b_152_4" hidden="1">#REF!</definedName>
    <definedName name="TRNR_6297ee723fe14d4f857dd1d935a3a1c1_544_2" hidden="1">#REF!</definedName>
    <definedName name="TRNR_62983787b2ad44cbafc4ffc633a8a87f_232_2" hidden="1">#REF!</definedName>
    <definedName name="TRNR_62a778412e7e4fa9af32cbe590844ce9_243_3" hidden="1">#REF!</definedName>
    <definedName name="TRNR_62be3dcbb74243cd960d9873a879b273_518_1" hidden="1">#REF!</definedName>
    <definedName name="TRNR_62d38aa66d884bc68c4c1724d15e0a23_1067_5" hidden="1">#REF!</definedName>
    <definedName name="TRNR_62da9d1fd2734517968b1c4d94436b9b_217_2" hidden="1">#REF!</definedName>
    <definedName name="TRNR_62dd8cab91b34ddca258b0b439d84981_23_4" hidden="1">#REF!</definedName>
    <definedName name="TRNR_62ebae3c8fd7493d8210998e534cab43_9_1" hidden="1">#REF!</definedName>
    <definedName name="TRNR_6301b0bc3b6b4ff1b831f3ad2470f795_610_2" hidden="1">#REF!</definedName>
    <definedName name="TRNR_630be361c53a4e328c277b6a390a0bd6_535_2" hidden="1">#REF!</definedName>
    <definedName name="TRNR_631c7c40631647deb86f4d94351d0ccf_586_1" hidden="1">#REF!</definedName>
    <definedName name="TRNR_6330b6fa00de464183cf9b39d0a1342e_2339_2" hidden="1">#REF!</definedName>
    <definedName name="TRNR_6335a9e6091f442bb1a9ebc24a46abd0_9_1" hidden="1">#REF!</definedName>
    <definedName name="TRNR_633be6aa88cd40bfad000879e1baa7f5_361_2" hidden="1">#REF!</definedName>
    <definedName name="TRNR_63417f87eed34445a18cb4b7dafb4073_260_4" hidden="1">#REF!</definedName>
    <definedName name="TRNR_6352d9f4876240bfac60f3641d3838a8_2815_2" hidden="1">#REF!</definedName>
    <definedName name="TRNR_6358b8e62f2e45c7ae3053ff176a4491_16_1" hidden="1">#REF!</definedName>
    <definedName name="TRNR_635ad4f295ef4ebcb9832dc7ab825262_359_3" hidden="1">#REF!</definedName>
    <definedName name="TRNR_636ee2e025fd496d8d423a2716d84016_153_2" hidden="1">#REF!</definedName>
    <definedName name="TRNR_638211720a21469cae923aab196beb37_158_2" hidden="1">#REF!</definedName>
    <definedName name="TRNR_63873972f6064421966fbb41c8296ddb_577_5" hidden="1">#REF!</definedName>
    <definedName name="TRNR_63a170ed26ef47cfbd7b6fc5a9f73c36_365_4" hidden="1">#REF!</definedName>
    <definedName name="TRNR_63a97722e59346e7b799ec3d9acb62da_561_2" hidden="1">#REF!</definedName>
    <definedName name="TRNR_63b00326f0b741cc8c23f454e64c833f_786_2" hidden="1">#REF!</definedName>
    <definedName name="TRNR_63b43e9826a545088ee25d9e60f90de9_65_3" hidden="1">#REF!</definedName>
    <definedName name="TRNR_63c89ef9405f4ea4949d0044c22f2e74_452_5" hidden="1">#REF!</definedName>
    <definedName name="TRNR_63cd5356b8c74c008dba8fabed21e2ef_661_4" hidden="1">#REF!</definedName>
    <definedName name="TRNR_63d7e9c6f82c49b19aa9d317b47bf5de_441_1" hidden="1">#REF!</definedName>
    <definedName name="TRNR_63dcf66b69e244039ca09fc529700cf3_141_2" hidden="1">#REF!</definedName>
    <definedName name="TRNR_63ef8d12fc1e4fcfa39dcaa7cbdaba07_544_2" hidden="1">#REF!</definedName>
    <definedName name="TRNR_641816fc5a35430b9034e0088d7552fc_13_1" hidden="1">#REF!</definedName>
    <definedName name="TRNR_6420c5acf128427e9ecdbb1c334d5dd5_133_2" hidden="1">#REF!</definedName>
    <definedName name="TRNR_6431556696ca4375a7cf657547ba6bf2_543_6" hidden="1">#REF!</definedName>
    <definedName name="TRNR_643c589026e64c04a75458548b0299d5_49_1" hidden="1">#REF!</definedName>
    <definedName name="TRNR_6471029b6a7b4c4192f0ad47d8cbcad5_16_1" hidden="1">#REF!</definedName>
    <definedName name="TRNR_6472a672e7424b4dad28cadd2fe2b5fa_1196_7" hidden="1">#REF!</definedName>
    <definedName name="TRNR_6475d532fe6f44cfb8ee3c601cdd6b10_16_1" hidden="1">#REF!</definedName>
    <definedName name="TRNR_6493b55bfc7b41058a7c80e69de64c35_261_3" hidden="1">#REF!</definedName>
    <definedName name="TRNR_649afdb2b20143bc8d564bb147d30abb_9_1" hidden="1">#REF!</definedName>
    <definedName name="TRNR_64a87fd825c84817b760e17b8438ff4d_215_2" hidden="1">#REF!</definedName>
    <definedName name="TRNR_64aebea5e8524cac94d409ad34fb539f_16_1" hidden="1">#REF!</definedName>
    <definedName name="TRNR_64c4e208ad3847b5a029b98f72d96cf5_575_1" hidden="1">#REF!</definedName>
    <definedName name="TRNR_64c55f2341b947b180e951f13a72ada0_1497_2" hidden="1">#REF!</definedName>
    <definedName name="TRNR_64d9c204e8b64b949cee36bc6ea74bc7_302_2" hidden="1">#REF!</definedName>
    <definedName name="TRNR_64e0f557a67d46a090c3af918ae7a24d_11_1" hidden="1">#REF!</definedName>
    <definedName name="TRNR_64ee8a87fbd742e5987ab0c1660620eb_1_1" hidden="1">#REF!</definedName>
    <definedName name="TRNR_64f2bd6c49b1427aa68413d70abbe63f_420_2" hidden="1">#REF!</definedName>
    <definedName name="TRNR_64fc43a3d1654cd98151f4da6e280d5b_23_4" hidden="1">#REF!</definedName>
    <definedName name="TRNR_651f256f21db42989dc4f7195494fe8b_2597_2" hidden="1">#REF!</definedName>
    <definedName name="TRNR_6525bd37920c40ff9c50be4fa7eb5781_16_1" hidden="1">#REF!</definedName>
    <definedName name="TRNR_65389884089940f096a8137a22d0cd7b_16_1" hidden="1">#REF!</definedName>
    <definedName name="TRNR_6539b51ff4f7475480a236d2e69c894c_10_1" hidden="1">#REF!</definedName>
    <definedName name="TRNR_654e172d47b64d11b42710e3e4e98e6d_399_1" hidden="1">#REF!</definedName>
    <definedName name="TRNR_6569f05105d348a481585ac8b2df14f4_153_3" hidden="1">#REF!</definedName>
    <definedName name="TRNR_6570aab0ef994607a0bf76f25f343df8_275_2" hidden="1">#REF!</definedName>
    <definedName name="TRNR_6589ff53b1a04b0296550fac5676a5e9_118_1" hidden="1">#REF!</definedName>
    <definedName name="TRNR_659cb78701ca4b3cb8993e7843e6caf5_133_2" hidden="1">#REF!</definedName>
    <definedName name="TRNR_65b63095be7b4c44bc7949b2a8c448b0_378_6" hidden="1">#REF!</definedName>
    <definedName name="TRNR_65b7170ffb9a48a99d3cfa31fe1c52e1_497_2" hidden="1">#REF!</definedName>
    <definedName name="TRNR_65bea84a213741e4aa8651ed646f4c98_6_2" hidden="1">#REF!</definedName>
    <definedName name="TRNR_65c23b81fc7f4d9cb4410d3cc0a8b4f2_71_3" hidden="1">#REF!</definedName>
    <definedName name="TRNR_65d77d0cf28b43a68ccec1338d36734b_10_1" hidden="1">#REF!</definedName>
    <definedName name="TRNR_65d78b380f8b47e6858550fe245edae8_350_2" hidden="1">#REF!</definedName>
    <definedName name="TRNR_65e18a920fd541b2b9e3e2a570ba2027_609_2" hidden="1">#REF!</definedName>
    <definedName name="TRNR_65f8e4a944a347ff840175dba4a860d6_13_1" hidden="1">#REF!</definedName>
    <definedName name="TRNR_663702c7a7de4a879f5d66385f6b6df6_60_1" hidden="1">#REF!</definedName>
    <definedName name="TRNR_6647e8b5b4094a1490986153d7d3e316_9_1" hidden="1">#REF!</definedName>
    <definedName name="TRNR_665fd9369f6542dbae9ab2b2b9ed5d9b_383_3" hidden="1">#REF!</definedName>
    <definedName name="TRNR_666e67ae19e347d291e145a4cdb09e9f_162_1" hidden="1">#REF!</definedName>
    <definedName name="TRNR_6670da5baf024405857df6eb62e1b26a_16_1" hidden="1">#REF!</definedName>
    <definedName name="TRNR_6677ed2542d64c5292e7bb71830b0ef6_368_4" hidden="1">#REF!</definedName>
    <definedName name="TRNR_66791d6252294ce0b9b47aeb16549326_255_4" hidden="1">#REF!</definedName>
    <definedName name="TRNR_6679c93b073d47539404c24c12504399_376_6" hidden="1">#REF!</definedName>
    <definedName name="TRNR_668350dbbd724f589586a3e789473f83_6_1" hidden="1">#REF!</definedName>
    <definedName name="TRNR_668ad0268c42445d82e47ccf79eecb86_10_1" hidden="1">#REF!</definedName>
    <definedName name="TRNR_66ae19bc5ade4dc7ba77012565f01689_13_1" hidden="1">#REF!</definedName>
    <definedName name="TRNR_66d2d0de1d7942788ef7dffbf054e790_8564_4" hidden="1">#REF!</definedName>
    <definedName name="TRNR_66db4832c4b14d87b8bafc09d7eb37e0_9_1" hidden="1">#REF!</definedName>
    <definedName name="TRNR_66ed82f976ff42b2b8c6e1b8bfecb868_294_5" hidden="1">#REF!</definedName>
    <definedName name="TRNR_66f27ff7cc4a43d8811c2a5458508e1f_318_2" hidden="1">#REF!</definedName>
    <definedName name="TRNR_66f7d8d8ea624f4fbf2cb3329ff990f8_102_2" hidden="1">#REF!</definedName>
    <definedName name="TRNR_6704712fd73e49119aa7000682f79515_150_4" hidden="1">#REF!</definedName>
    <definedName name="TRNR_67124d171e57475d9d70595cc97b9eaf_120_1" hidden="1">#REF!</definedName>
    <definedName name="TRNR_6728b62396434f06a3c98914c416c627_550_2" hidden="1">#REF!</definedName>
    <definedName name="TRNR_672d69916efa432ca821c8ac7c76d7d9_716_2" hidden="1">#REF!</definedName>
    <definedName name="TRNR_6744f6c410064c649e0c091d861b164b_44_2" hidden="1">#REF!</definedName>
    <definedName name="TRNR_6746597758b34357b8e4cf31bae50c9f_310_2" hidden="1">#REF!</definedName>
    <definedName name="TRNR_6747842f64bb4e54a24c8f973ba09db9_2_3" hidden="1">#REF!</definedName>
    <definedName name="TRNR_674ad52798e346fa9d65d805781e304b_152_3" hidden="1">#REF!</definedName>
    <definedName name="TRNR_675037e529074d60a0b7313913f7c72c_523_2" hidden="1">#REF!</definedName>
    <definedName name="TRNR_67504923e7d8413facddf77d056bf33d_636_2" hidden="1">#REF!</definedName>
    <definedName name="TRNR_67538ffed71f4dfaabc1427cb9fb661f_241_2" hidden="1">#REF!</definedName>
    <definedName name="TRNR_675b7b7a59f741bc95e09d4aeed1545a_129_2" hidden="1">#REF!</definedName>
    <definedName name="TRNR_676e97b5004e4c4bb952722405deefcf_13_1" hidden="1">#REF!</definedName>
    <definedName name="TRNR_676ff195f4f1484da49ef29c7dfcf67c_16_1" hidden="1">#REF!</definedName>
    <definedName name="TRNR_6780c9add84d416a84594613cc14a892_229_2" hidden="1">#REF!</definedName>
    <definedName name="TRNR_6785de35cfea426280512c476d00a3bd_16_1" hidden="1">#REF!</definedName>
    <definedName name="TRNR_678a06b904af479f9dc9d1d3a5f68e77_547_2" hidden="1">#REF!</definedName>
    <definedName name="TRNR_67997953ddd64f91a3d0cac61746e5ca_172_1" hidden="1">#REF!</definedName>
    <definedName name="TRNR_67b666aa0c0c45778b8eda6f454003f0_289_3" hidden="1">#REF!</definedName>
    <definedName name="TRNR_67bdc6bc28ed43318da88e11d2f8d818_244_4" hidden="1">#REF!</definedName>
    <definedName name="TRNR_67e3c25cf434423e817e02160eb7157e_732_6" hidden="1">#REF!</definedName>
    <definedName name="TRNR_6818b4631910465fba06f2604fca3904_375_6" hidden="1">#REF!</definedName>
    <definedName name="TRNR_6825072b1f294b779ff6f8622588363d_524_1" hidden="1">#REF!</definedName>
    <definedName name="TRNR_6825bca66ae64b54a224113cda093257_405_3" hidden="1">#REF!</definedName>
    <definedName name="TRNR_68471203fa324363a17862228183b11e_181_1" hidden="1">#REF!</definedName>
    <definedName name="TRNR_68476856c61c4b9baff8d721f077aa9f_23_4" hidden="1">#REF!</definedName>
    <definedName name="TRNR_6875bc12d6414f9086f87850c5030bc9_11_2" hidden="1">#REF!</definedName>
    <definedName name="TRNR_68958dfcac95476eb8954cc714668c51_154_2" hidden="1">#REF!</definedName>
    <definedName name="TRNR_68971e1042924bad9e3a3991f3a7a9bc_304_3" hidden="1">#REF!</definedName>
    <definedName name="TRNR_689cfe028f404126ac52da0e1b316889_131_2" hidden="1">#REF!</definedName>
    <definedName name="TRNR_68a40eb7a4834dcc9e9b1e97226b8135_408_3" hidden="1">#REF!</definedName>
    <definedName name="TRNR_68a5c8d5cd0b4474b7aa93db52f5070d_453_1" hidden="1">#REF!</definedName>
    <definedName name="TRNR_68b01740c79041639098f3ddb499e95a_16_1" hidden="1">#REF!</definedName>
    <definedName name="TRNR_68b84740bec644ccb90ad1d743bfdc0e_562_3" hidden="1">#REF!</definedName>
    <definedName name="TRNR_68c01bcd44644d8ca7f8dd1f133134d1_419_2" hidden="1">#REF!</definedName>
    <definedName name="TRNR_68c190331ba74b5da16d061c87e49a7a_13_1" hidden="1">#REF!</definedName>
    <definedName name="TRNR_68c5c1e1dd104af99bf74175d1f9cc4f_458_4" hidden="1">#REF!</definedName>
    <definedName name="TRNR_68cac7b6bde1474288661abcee170d1c_1497_2" hidden="1">#REF!</definedName>
    <definedName name="TRNR_68d3d47d734a4da4bbc5aee09a1f6685_4_1" hidden="1">#REF!</definedName>
    <definedName name="TRNR_68de365ff66a4044a935079d30017299_16_1" hidden="1">#REF!</definedName>
    <definedName name="TRNR_68e77c64be6e459988b3bc5ffe32002c_16_1" hidden="1">#REF!</definedName>
    <definedName name="TRNR_6948024c6ec34ae69d32c55e16e0d618_537_1" hidden="1">#REF!</definedName>
    <definedName name="TRNR_694c4539c5dc412c9e5d271962e22a9b_9_1" hidden="1">#REF!</definedName>
    <definedName name="TRNR_694fd0a0c08b41188f033fa7fdc40e6d_220_3" hidden="1">#REF!</definedName>
    <definedName name="TRNR_69670aa1ee67426c96f841b95772f1ab_131_1" hidden="1">#REF!</definedName>
    <definedName name="TRNR_696848fdf5a64e2d957b60ca759e3bf6_7_1" hidden="1">#REF!</definedName>
    <definedName name="TRNR_6971db105d5943c2b377e0888338876e_806_8" hidden="1">#REF!</definedName>
    <definedName name="TRNR_697b542a9e3641eabcb52fa76918920b_23_4" hidden="1">#REF!</definedName>
    <definedName name="TRNR_697c3f95394c4d1db7655b06c536e3ef_16_1" hidden="1">#REF!</definedName>
    <definedName name="TRNR_697cc1c29f56417fa545da5818ede65e_13_1" hidden="1">#REF!</definedName>
    <definedName name="TRNR_6985f9ceda7e4c2faf2f6536f2c18d3a_241_2" hidden="1">#REF!</definedName>
    <definedName name="TRNR_698c34472ec64e3b9f79f9fa6214a7ed_16_1" hidden="1">#REF!</definedName>
    <definedName name="TRNR_699eb22e40f1424386581adec32b800f_517_1" hidden="1">#REF!</definedName>
    <definedName name="TRNR_69b562971d224d99b68569a191b48839_37_1" hidden="1">#REF!</definedName>
    <definedName name="TRNR_69b88751d4bf404994d57973b3b239f3_632_4" hidden="1">#REF!</definedName>
    <definedName name="TRNR_69c73cfc1b694f5b83e6e2f46d02f4c6_13_1" hidden="1">#REF!</definedName>
    <definedName name="TRNR_69cea8376d684632b94c13ada39fb5d9_121_15" hidden="1">#REF!</definedName>
    <definedName name="TRNR_69da8cfee81744149b958eabecd4e37a_403_5" hidden="1">#REF!</definedName>
    <definedName name="TRNR_69e4cfcc7d5847bf996be4eaceee597e_13_1" hidden="1">#REF!</definedName>
    <definedName name="TRNR_6a243ccfe351433f9730f164e009c38b_13_1" hidden="1">#REF!</definedName>
    <definedName name="TRNR_6a25f6a17c204a43ba23c3c79ee6a782_354_3" hidden="1">#REF!</definedName>
    <definedName name="TRNR_6a2e2300993547ca853beb128b17ce8e_119_2" hidden="1">#REF!</definedName>
    <definedName name="TRNR_6a6829e8209e40f6aa28d4fc7587f742_144_2" hidden="1">#REF!</definedName>
    <definedName name="TRNR_6a72448a94854a8591c8b4728fa9c2f5_10_1" hidden="1">#REF!</definedName>
    <definedName name="TRNR_6a8da3151596413f8c7e4b639ef5c3cb_241_1" hidden="1">#REF!</definedName>
    <definedName name="TRNR_6ab8075da6fd4a7395b26c8163ad83a2_9_1" hidden="1">#REF!</definedName>
    <definedName name="TRNR_6adc88f6ac1a45efba3f1feeb3eef57b_513_1" hidden="1">#REF!</definedName>
    <definedName name="TRNR_6ae3f387f3374b2b9474215b3818d1d5_133_1" hidden="1">#REF!</definedName>
    <definedName name="TRNR_6af4ae7b7bfb4ab09f37af1ccc810e2e_171_1" hidden="1">#REF!</definedName>
    <definedName name="TRNR_6af65ffa60e54f4fb7ef7d1d5dfc8e5b_204_2" hidden="1">#REF!</definedName>
    <definedName name="TRNR_6b0962a530e7467c85b812ae94ac32d0_152_3" hidden="1">#REF!</definedName>
    <definedName name="TRNR_6b16e9ee9e9e4f6cb95eed96c858b539_348_2" hidden="1">#REF!</definedName>
    <definedName name="TRNR_6b1fee88216c44d79ff105d2210de003_44_3" hidden="1">#REF!</definedName>
    <definedName name="TRNR_6b22658ff4f84566b4c95b36708ed9d0_1_1" hidden="1">#REF!</definedName>
    <definedName name="TRNR_6b58f780e5ce47cc9314e4a04c3fa3e4_63_4" hidden="1">#REF!</definedName>
    <definedName name="TRNR_6b6ba898464549e38122dde954853e79_2_1" hidden="1">#REF!</definedName>
    <definedName name="TRNR_6b9a5d3d5ee84d5488a36e39c45d8efc_547_2" hidden="1">#REF!</definedName>
    <definedName name="TRNR_6b9c537129d444e8bd05353cc5902bb7_64_1" hidden="1">#REF!</definedName>
    <definedName name="TRNR_6ba3149a24724bb4a028b7e101db9837_240_2" hidden="1">#REF!</definedName>
    <definedName name="TRNR_6bc291501d12482a886cdf5ecc8fb40c_26_5" hidden="1">#REF!</definedName>
    <definedName name="TRNR_6bde3df18889451cae3081402e244a04_456_1" hidden="1">#REF!</definedName>
    <definedName name="TRNR_6bfe8d1711cc4a64a0c7110690f085f4_156_3" hidden="1">#REF!</definedName>
    <definedName name="TRNR_6c082aff2345489f817a5fe24a7fa83d_4_3" hidden="1">#REF!</definedName>
    <definedName name="TRNR_6c095062d27346d3a17f166a15be578a_294_5" hidden="1">#REF!</definedName>
    <definedName name="TRNR_6c0effa93412447885bfa9cb6f2f9741_380_3" hidden="1">#REF!</definedName>
    <definedName name="TRNR_6c17574f9f7142beb0fc12fa33468019_122_2" hidden="1">#REF!</definedName>
    <definedName name="TRNR_6c22140f32cf427584705d910aa54f03_575_2" hidden="1">#REF!</definedName>
    <definedName name="TRNR_6c230551778c42f78de9764a7a4c6dd8_3_1" hidden="1">#REF!</definedName>
    <definedName name="TRNR_6c2e30e2b9f145c4a9033d2b5691ad87_206_3" hidden="1">#REF!</definedName>
    <definedName name="TRNR_6c52b02c6677442f8144f829d3c7d54d_244_2" hidden="1">#REF!</definedName>
    <definedName name="TRNR_6c669695e5a04cf5b448175f1bf8b713_377_1" hidden="1">#REF!</definedName>
    <definedName name="TRNR_6c7901c119e94ba3af5ebf0f6dbb8831_16_1" hidden="1">#REF!</definedName>
    <definedName name="TRNR_6c7cfa3205954566965e3d51361db494_398_2" hidden="1">#REF!</definedName>
    <definedName name="TRNR_6c8481cdec224c26b25a5293bee8aef1_16_1" hidden="1">#REF!</definedName>
    <definedName name="TRNR_6c94fad44ced42dfa5d42089c29948e1_14_1" hidden="1">#REF!</definedName>
    <definedName name="TRNR_6cc45a6f034549739f63e6e4055b39c9_134_2" hidden="1">#REF!</definedName>
    <definedName name="TRNR_6cc90def522f4598a30321e5f2b51c71_455_4" hidden="1">#REF!</definedName>
    <definedName name="TRNR_6cd3a64656d34ee587929bc8c765c196_16_1" hidden="1">#REF!</definedName>
    <definedName name="TRNR_6cd7204b717141a8ad79134a0205c901_7_6" hidden="1">#REF!</definedName>
    <definedName name="TRNR_6cef05d2a2c14565b00c107a6b9a95cc_536_3" hidden="1">#REF!</definedName>
    <definedName name="TRNR_6cfd991f0e4847beb38742898ce201cb_926_7" hidden="1">#REF!</definedName>
    <definedName name="TRNR_6d040267214f4315b80ab89fb2bcca29_23_4" hidden="1">#REF!</definedName>
    <definedName name="TRNR_6d1c64cebed44c908b74ea542e2bf38d_518_1" hidden="1">#REF!</definedName>
    <definedName name="TRNR_6d2a37251bd144d5badda53b40c32312_482_3" hidden="1">#REF!</definedName>
    <definedName name="TRNR_6d43e44b33224acb85821378412c1c1a_262_2" hidden="1">#REF!</definedName>
    <definedName name="TRNR_6d4875cb249d4ab992e953020d3dbefa_235_2" hidden="1">#REF!</definedName>
    <definedName name="TRNR_6d4a2568ea134763b92994cc49d0e834_471_2" hidden="1">#REF!</definedName>
    <definedName name="TRNR_6d4a92f87b0e4253b16fdf8c80908b3c_527_2" hidden="1">#REF!</definedName>
    <definedName name="TRNR_6d4f95c060f841c0a22260a5b471268e_153_4" hidden="1">#REF!</definedName>
    <definedName name="TRNR_6d5639aee2cc4f8e902d35324ffa15d1_6_6" hidden="1">#REF!</definedName>
    <definedName name="TRNR_6d5cfd345cf840fcaad12f7c709bcd1d_294_2" hidden="1">#REF!</definedName>
    <definedName name="TRNR_6d8e94a18f554a458503047edb517ded_90_1" hidden="1">#REF!</definedName>
    <definedName name="TRNR_6d9214509f2b40a7a75e07795e570a85_10_1" hidden="1">#REF!</definedName>
    <definedName name="TRNR_6d982d8e2002468e941ac7c32008bfcb_13_1" hidden="1">#REF!</definedName>
    <definedName name="TRNR_6d9b6462cee2465baa8e12f6b5517c2d_6_1" hidden="1">#REF!</definedName>
    <definedName name="TRNR_6da81e1fa00c431885346e160277b247_451_2" hidden="1">#REF!</definedName>
    <definedName name="TRNR_6db57e98d2c74c32b51277c077792139_178_2" hidden="1">#REF!</definedName>
    <definedName name="TRNR_6dc6eac10f654f0bbeadbfe4fd413f86_1086_5" hidden="1">#REF!</definedName>
    <definedName name="TRNR_6dc81b523e674cb38c198e9e64484067_228_1" hidden="1">#REF!</definedName>
    <definedName name="TRNR_6dc9b6bb81d14f33b3a1246cfda50565_761_5" hidden="1">#REF!</definedName>
    <definedName name="TRNR_6dce6659be4d4c8cb0a2c4aad25985ae_3_1" hidden="1">#REF!</definedName>
    <definedName name="TRNR_6df18da8c0b7498e8dc12ec38207939d_141_2" hidden="1">#REF!</definedName>
    <definedName name="TRNR_6df3b841f1dc4859bbc35943a6c2d07c_1306_8" hidden="1">#REF!</definedName>
    <definedName name="TRNR_6dfd885a28984d78a407a0fe2895252a_121_1" hidden="1">#REF!</definedName>
    <definedName name="TRNR_6dfe7f94192243fd93efaf05b84e310c_16_1" hidden="1">#REF!</definedName>
    <definedName name="TRNR_6dffd838a912472ea5ff18b09dd2614e_13_1" hidden="1">#REF!</definedName>
    <definedName name="TRNR_6e0dc8ac8df645b8b6692be879a9209f_10_1" hidden="1">#REF!</definedName>
    <definedName name="TRNR_6e2c0e951a684cd9abaab562bca6e0fe_477_3" hidden="1">#REF!</definedName>
    <definedName name="TRNR_6e3b01eae36d4a8ca3c04a7d8b0490c1_523_2" hidden="1">#REF!</definedName>
    <definedName name="TRNR_6e41f40f2d474894b81a638417e7eb48_7_1" hidden="1">#REF!</definedName>
    <definedName name="TRNR_6e496dc8ece443ad842c8adaf4ad8bda_336_2" hidden="1">#REF!</definedName>
    <definedName name="TRNR_6e4cd93387b44446b8c16231c568abd2_469_2" hidden="1">#REF!</definedName>
    <definedName name="TRNR_6e50af1d45a1432a80eaff2b02167c23_116_2" hidden="1">#REF!</definedName>
    <definedName name="TRNR_6e6481512aa94e6793c60bb88a069797_16_1" hidden="1">#REF!</definedName>
    <definedName name="TRNR_6e67f4e216844f70aaa138fef0d53a88_283_5" hidden="1">#REF!</definedName>
    <definedName name="TRNR_6e768e72d643499786b0355fd8f7312e_635_2" hidden="1">#REF!</definedName>
    <definedName name="TRNR_6e7eed02a1ab4f6395249ca3f69bd979_25_1" hidden="1">#REF!</definedName>
    <definedName name="TRNR_6ea700b70aa8496a83ac927f46a2971e_83_8" hidden="1">#REF!</definedName>
    <definedName name="TRNR_6eb739477c39476aa44dbcf0b7322c28_241_2" hidden="1">#REF!</definedName>
    <definedName name="TRNR_6ed60bf33be84b4daf5437e12c16fee5_220_8" hidden="1">#REF!</definedName>
    <definedName name="TRNR_6ede4f59050c423ca7dfeeef2a609b48_103_1" hidden="1">#REF!</definedName>
    <definedName name="TRNR_6ee4a05746f14f598ba81ff5e61f8dc9_534_2" hidden="1">#REF!</definedName>
    <definedName name="TRNR_6ee56fdcf23e4201b99f15d398085855_420_3" hidden="1">#REF!</definedName>
    <definedName name="TRNR_6ef1091b953346f797632f7fa0a69a92_63_4" hidden="1">#REF!</definedName>
    <definedName name="TRNR_6f0215bcd7774b88838ddecc10c32be0_4_1" hidden="1">#REF!</definedName>
    <definedName name="TRNR_6f024ce86fca4029a5fdbdb0a547c827_241_3" hidden="1">#REF!</definedName>
    <definedName name="TRNR_6f07f51bc5804e8fa33bfae86774e8a5_144_5" hidden="1">#REF!</definedName>
    <definedName name="TRNR_6f1d7b6ac9164040892f264170c70757_10_1" hidden="1">#REF!</definedName>
    <definedName name="TRNR_6f24b2d52333405a9d966c80f7f0b9c6_122_8" hidden="1">#REF!</definedName>
    <definedName name="TRNR_6f2d3348a1e04cccb602fc7188085aa3_241_4" hidden="1">#REF!</definedName>
    <definedName name="TRNR_6f55bcc840f74a608e78e5aa74f47ece_8_8" hidden="1">#REF!</definedName>
    <definedName name="TRNR_6f79e44d4be240a68132fb8c7a325d7e_146_3" hidden="1">#REF!</definedName>
    <definedName name="TRNR_6f7b950aff9f4bb1957f38caaaaf1544_10_1" hidden="1">#REF!</definedName>
    <definedName name="TRNR_6f912a9ed61a4c4bab6fac7ede2a073a_4_3" hidden="1">#REF!</definedName>
    <definedName name="TRNR_6f9ab7c87bb44c749976645fe5760c2c_807_2" hidden="1">#REF!</definedName>
    <definedName name="TRNR_6f9c3d59796244c0b9deab532e93a943_8_1" hidden="1">#REF!</definedName>
    <definedName name="TRNR_6fb8383d5f114277800d7e3ba8113e7e_13_1" hidden="1">#REF!</definedName>
    <definedName name="TRNR_6fba11a0d3e54428ab930ab990b4cf36_13_1" hidden="1">#REF!</definedName>
    <definedName name="TRNR_6fba95767f8a4300828dd108e753c20a_232_3" hidden="1">#REF!</definedName>
    <definedName name="TRNR_6fc7aaf303894e8393f84c28fcb8a81a_419_2" hidden="1">#REF!</definedName>
    <definedName name="TRNR_6fcc661cd4d94b9fbd7ddfcbf27e5c0b_114_1" hidden="1">#REF!</definedName>
    <definedName name="TRNR_6fe2c959c8e5420d9f08d1567349adda_557_4" hidden="1">#REF!</definedName>
    <definedName name="TRNR_70006c2d8def47488615e5335a34e06b_146_3" hidden="1">#REF!</definedName>
    <definedName name="TRNR_700ee749f1f34b8cb0d16a8d3310a23a_241_2" hidden="1">#REF!</definedName>
    <definedName name="TRNR_701812e8b4c34566a668cf71ef087676_241_9" hidden="1">#REF!</definedName>
    <definedName name="TRNR_701edd6e26344de5a21d1a0af956ddb9_23_4" hidden="1">#REF!</definedName>
    <definedName name="TRNR_703345559a4e44c99015c96e4f8341d2_456_2" hidden="1">#REF!</definedName>
    <definedName name="TRNR_703723062e2942a7abd830b9fbc8c9f5_311_2" hidden="1">#REF!</definedName>
    <definedName name="TRNR_703e6e937abb4236aa9841a2daadab88_191_2" hidden="1">#REF!</definedName>
    <definedName name="TRNR_7049b92679ff40a581471c3189e8148a_157_3" hidden="1">#REF!</definedName>
    <definedName name="TRNR_704c792f5c0b400ea7430ec6dfd40704_10_1" hidden="1">#REF!</definedName>
    <definedName name="TRNR_7056255067994942a6a94329a48c31de_365_1" hidden="1">#REF!</definedName>
    <definedName name="TRNR_7064660d25d44bf180de4d63e663a214_822_5" hidden="1">#REF!</definedName>
    <definedName name="TRNR_7065bd28c2454ce580d39819ca34147d_246_3" hidden="1">#REF!</definedName>
    <definedName name="TRNR_70907806429d48c8b690728954dec7e4_459_2" hidden="1">#REF!</definedName>
    <definedName name="TRNR_70c1869c286241d38e79cd51aaf655dc_10_1" hidden="1">#REF!</definedName>
    <definedName name="TRNR_70c63f18cc784d3d86adf059ee0b5d35_762_2" hidden="1">#REF!</definedName>
    <definedName name="TRNR_70dbeae6a65b40d59615cf0ace6bc32e_544_2" hidden="1">#REF!</definedName>
    <definedName name="TRNR_70dc9ec7f96d4b5690637173682721ba_4_1" hidden="1">#REF!</definedName>
    <definedName name="TRNR_711df2967e7849beae0b5f799ed6fa54_153_1" hidden="1">#REF!</definedName>
    <definedName name="TRNR_7127f78ad41b468b85f9f2246ed0160b_16_1" hidden="1">#REF!</definedName>
    <definedName name="TRNR_712a6114e31547709bdac63dfe91b8c7_575_4" hidden="1">#REF!</definedName>
    <definedName name="TRNR_7131bcbaa3d74323a1ff20c32dc5bce0_13_1" hidden="1">#REF!</definedName>
    <definedName name="TRNR_714115331573478e8d701b7e04547323_367_1" hidden="1">#REF!</definedName>
    <definedName name="TRNR_715e2c7f3bad4d9caa1d73591c1d7fa8_287_2" hidden="1">#REF!</definedName>
    <definedName name="TRNR_71673b8266584d1ab34d1b69291897b4_21_3" hidden="1">#REF!</definedName>
    <definedName name="TRNR_716a196f84214e04987f31d06e88a64f_457_2" hidden="1">#REF!</definedName>
    <definedName name="TRNR_71855cfd49d14ff18f252fa9541c8321_241_2" hidden="1">#REF!</definedName>
    <definedName name="TRNR_719dd3daf4b948e797ace32977129db8_559_2" hidden="1">#REF!</definedName>
    <definedName name="TRNR_71cd6e7177004e6cbc34802640a3e011_545_2" hidden="1">#REF!</definedName>
    <definedName name="TRNR_71d5239227a54378a1015c9453a49afd_219_3" hidden="1">#REF!</definedName>
    <definedName name="TRNR_71d999d0c6ca4466a03299d5dfcf66f2_7_1" hidden="1">#REF!</definedName>
    <definedName name="TRNR_71dbfed8304548ea9ecba8efe7acc85c_163_2" hidden="1">#REF!</definedName>
    <definedName name="TRNR_71e58b9f92034ca79443dd79a706a474_5220_2" hidden="1">#REF!</definedName>
    <definedName name="TRNR_71e6333095c042dda11bd6c770ea9b34_479_2" hidden="1">#REF!</definedName>
    <definedName name="TRNR_71eb8370c02748d1ac93034e206e0ae4_632_2" hidden="1">#REF!</definedName>
    <definedName name="TRNR_71f7c750e91a48c3b831f5d9902de08c_13_1" hidden="1">#REF!</definedName>
    <definedName name="TRNR_7216592b54c8472c96af6df03f155171_3_2" hidden="1">#REF!</definedName>
    <definedName name="TRNR_722a2279e80847ce8d7745f3e6b6efcf_133_2" hidden="1">#REF!</definedName>
    <definedName name="TRNR_722a6f648a8846dbbd4a1ddbd5e70e46_23_4" hidden="1">#REF!</definedName>
    <definedName name="TRNR_722f7c03c3124966bb57f1a4505e15a9_369_4" hidden="1">#REF!</definedName>
    <definedName name="TRNR_722fd3b149654dacbad1bb72148c2b4a_284_2" hidden="1">#REF!</definedName>
    <definedName name="TRNR_7231903243c049b4ba89f4ddeaf06351_428_1" hidden="1">#REF!</definedName>
    <definedName name="TRNR_72338f84ea2e408eaa982311c266540b_1046_6" hidden="1">#REF!</definedName>
    <definedName name="TRNR_7233a2505be843feb7f2876a41355488_436_1" hidden="1">#REF!</definedName>
    <definedName name="TRNR_723a66bc52f749d1af1778d86ada49ce_546_2" hidden="1">#REF!</definedName>
    <definedName name="TRNR_725595211bfd4d3ba6b10e5a476b7ba0_384_6" hidden="1">#REF!</definedName>
    <definedName name="TRNR_725989d9d4e64308a337b752bdd21d07_618_5" hidden="1">#REF!</definedName>
    <definedName name="TRNR_7296d355d99249909ae1534085483eb4_208_1" hidden="1">#REF!</definedName>
    <definedName name="TRNR_729ce0cb70234d029cf0c46563d0390a_9_1" hidden="1">#REF!</definedName>
    <definedName name="TRNR_72b7a49419444d9b9b29d4209144b306_209_2" hidden="1">#REF!</definedName>
    <definedName name="TRNR_72c1c715bb33457b8d6f6101fb819080_41_2" hidden="1">#REF!</definedName>
    <definedName name="TRNR_72cca884a9bd458ba953826e065cbc3d_296_2" hidden="1">#REF!</definedName>
    <definedName name="TRNR_72cdceab093c439fb89d6a5ec46b72ba_172_3" hidden="1">#REF!</definedName>
    <definedName name="TRNR_72d2991b9c554e169e0d50e6653da1d9_515_2" hidden="1">#REF!</definedName>
    <definedName name="TRNR_72d58361c7ba496791ba6e2674d0ee20_747_7" hidden="1">#REF!</definedName>
    <definedName name="TRNR_72e1fb2f59f347b39ec0daae42638786_372_3" hidden="1">#REF!</definedName>
    <definedName name="TRNR_72f29e5590474065a3c4c6a9b568da83_792_6" hidden="1">#REF!</definedName>
    <definedName name="TRNR_7307a05195d2404288e3836023b4e6b0_122_3" hidden="1">#REF!</definedName>
    <definedName name="TRNR_7326841ed396472cbe4906faf9723cb7_146_3" hidden="1">#REF!</definedName>
    <definedName name="TRNR_732eb80e94434ca3bd46a349836dbfbe_567_5" hidden="1">#REF!</definedName>
    <definedName name="TRNR_7340d87d48b54bfbbdbf1af43f8dba01_35_1" hidden="1">#REF!</definedName>
    <definedName name="TRNR_735186501c0246528841d869d6319511_3743_2" hidden="1">#REF!</definedName>
    <definedName name="TRNR_7373b266b6e44300b6d7ef0b9c551224_267_4" hidden="1">#REF!</definedName>
    <definedName name="TRNR_737e594c822c4c2fb2647a50c7cf8dab_13_1" hidden="1">#REF!</definedName>
    <definedName name="TRNR_739c6f5529634c098eef2621870e1ffa_476_3" hidden="1">#REF!</definedName>
    <definedName name="TRNR_739e0458e2f8447993022476995b37bb_204_2" hidden="1">#REF!</definedName>
    <definedName name="TRNR_73a6ad12ac0f40b38da2e8579ee1e008_408_1" hidden="1">#REF!</definedName>
    <definedName name="TRNR_73af3af351034db2a91766d513673285_16_1" hidden="1">#REF!</definedName>
    <definedName name="TRNR_73b738c3349e4634b46efe4945dab367_154_3" hidden="1">#REF!</definedName>
    <definedName name="TRNR_73b94df0a030409582e6b2f8a72b3bb4_146_3" hidden="1">#REF!</definedName>
    <definedName name="TRNR_73c1d7bc63b94c19bd5e69c28d004361_311_2" hidden="1">#REF!</definedName>
    <definedName name="TRNR_73c3ca77a23a411bad5bd3aa447dd4a5_291_2" hidden="1">#REF!</definedName>
    <definedName name="TRNR_73ce9372dd644f3bba86619b82da04c0_1_1" hidden="1">#REF!</definedName>
    <definedName name="TRNR_73fafb5688ae4c4abbd2ec80abe9cfe6_668_2" hidden="1">#REF!</definedName>
    <definedName name="TRNR_74181babf10b4ac7bb9a2f6da9496115_242_1" hidden="1">#REF!</definedName>
    <definedName name="TRNR_741a2cbfb28a489082a247341ecb0c9e_23_4" hidden="1">#REF!</definedName>
    <definedName name="TRNR_7420a087791949d5b7203337827e2364_16_1" hidden="1">#REF!</definedName>
    <definedName name="TRNR_7430e39d098a4680b8bb02eb860b7667_45_7" hidden="1">#REF!</definedName>
    <definedName name="TRNR_744a36d2d0b14dda86fda509a9b20135_719_2" hidden="1">#REF!</definedName>
    <definedName name="TRNR_745f1a07045e4956972c6f7189d2aa6e_292_2" hidden="1">#REF!</definedName>
    <definedName name="TRNR_74655a4c1851472886a4c9cbd3d2ac7e_13_1" hidden="1">#REF!</definedName>
    <definedName name="TRNR_7473960cd9fd45d3a5b76aa3c8925448_225_6" hidden="1">#REF!</definedName>
    <definedName name="TRNR_747e046fd737401a972113dc43adb460_133_2" hidden="1">#REF!</definedName>
    <definedName name="TRNR_7486d11a442e459c9dbfba7458c298f0_527_1" hidden="1">#REF!</definedName>
    <definedName name="TRNR_749c702841a44bcdace71e010ffa745b_2_1" hidden="1">#REF!</definedName>
    <definedName name="TRNR_749cdae36b2d4a7a864c0e8da82ff75c_16_1" hidden="1">#REF!</definedName>
    <definedName name="TRNR_74a04d909b0e4002a872d40a89e1a139_23_4" hidden="1">#REF!</definedName>
    <definedName name="TRNR_74a6fef8269144008896a8172dc1588e_438_2" hidden="1">#REF!</definedName>
    <definedName name="TRNR_74da60eaf399461bb87782500b3a9e02_203_1" hidden="1">#REF!</definedName>
    <definedName name="TRNR_74e4f2328b71499090f617aa3eff9ef8_1083_5" hidden="1">#REF!</definedName>
    <definedName name="TRNR_751a5395f1cb4fec9b4fdfa9a9944944_275_2" hidden="1">#REF!</definedName>
    <definedName name="TRNR_7527a5e61efe47148fd213ef2e3bba3f_583_2" hidden="1">#REF!</definedName>
    <definedName name="TRNR_752962728c994b709e2608e9e3f841ee_477_3" hidden="1">#REF!</definedName>
    <definedName name="TRNR_753d096dc7054d3185004e0c93d241e7_152_3" hidden="1">#REF!</definedName>
    <definedName name="TRNR_7552152d7d074e338b1168d2d0fa346f_301_3" hidden="1">#REF!</definedName>
    <definedName name="TRNR_75590a6675e7451896404c7dc2f02b17_38_1" hidden="1">#REF!</definedName>
    <definedName name="TRNR_755c563e097142dba836e268ccd4bf06_1002_5" hidden="1">#REF!</definedName>
    <definedName name="TRNR_75634d743adf463b995ba2160f5c3955_13_1" hidden="1">#REF!</definedName>
    <definedName name="TRNR_75719b9c53c341068caf8ab60eea2290_2846_2" hidden="1">#REF!</definedName>
    <definedName name="TRNR_757b1b4db07649a6bd47c3333595adef_1_2" hidden="1">#REF!</definedName>
    <definedName name="TRNR_757cd764b08e4ac686ecc1654f63feda_226_2" hidden="1">#REF!</definedName>
    <definedName name="TRNR_757f999bff7f41738761d537daac447a_1257_7" hidden="1">#REF!</definedName>
    <definedName name="TRNR_759cc8ccc81e449283dad83e716d2269_16_1" hidden="1">#REF!</definedName>
    <definedName name="TRNR_75ad6b89a1544af9a4776a75207da452_136_1" hidden="1">#REF!</definedName>
    <definedName name="TRNR_75b13d03ccf74aff8a8ab218ad3a66e2_455_2" hidden="1">#REF!</definedName>
    <definedName name="TRNR_75b526e9183e4ac88e0c704d84f507ca_1043_3" hidden="1">#REF!</definedName>
    <definedName name="TRNR_75b59105fabc488682eb11fbea84d59b_358_3" hidden="1">#REF!</definedName>
    <definedName name="TRNR_75ba49f87dc1495ea6da9760ab683212_455_2" hidden="1">#REF!</definedName>
    <definedName name="TRNR_75c53c63cf844a90ac112997388c71ca_588_2" hidden="1">#REF!</definedName>
    <definedName name="TRNR_75e8999863974546b8f75b688568a7d8_753_2" hidden="1">#REF!</definedName>
    <definedName name="TRNR_75eb33363d5042139f8b77714c1693c5_121_2" hidden="1">#REF!</definedName>
    <definedName name="TRNR_75f304fd83554fb197b57f77fe6193bb_13_1" hidden="1">#REF!</definedName>
    <definedName name="TRNR_75f5da82a1b84f11b78090619099a0e6_144_4" hidden="1">#REF!</definedName>
    <definedName name="TRNR_75fcfa9c764045d290e81329cdb977bb_522_1" hidden="1">#REF!</definedName>
    <definedName name="TRNR_7612400dd7dd48659970e9bde687aa86_133_2" hidden="1">#REF!</definedName>
    <definedName name="TRNR_7642ac81549844fea5db01470f1121fa_16_1" hidden="1">#REF!</definedName>
    <definedName name="TRNR_76641a5bb6384475a5a9ff50f8420750_527_1" hidden="1">#REF!</definedName>
    <definedName name="TRNR_7684abc92bcb493c905d1d8b5835ac62_547_2" hidden="1">#REF!</definedName>
    <definedName name="TRNR_7686fb06b1024cb5b2d140ca50c33648_35_1" hidden="1">#REF!</definedName>
    <definedName name="TRNR_76a1c3ca12984303a1fa6da1d50de1d1_304_15" hidden="1">#REF!</definedName>
    <definedName name="TRNR_76a775a9427d454b89437bb7b08f8719_2345_2" hidden="1">#REF!</definedName>
    <definedName name="TRNR_76a9bd96624d4b9eafc5d148b68e6173_16_1" hidden="1">#REF!</definedName>
    <definedName name="TRNR_76b619a4e5b54dd88994261f737cb3f3_932_6" hidden="1">#REF!</definedName>
    <definedName name="TRNR_76ba03d8ee6d4932a1b76c6782630776_524_1" hidden="1">#REF!</definedName>
    <definedName name="TRNR_76e41f7fbb6047e6aaba7b7ad3d0de60_141_2" hidden="1">#REF!</definedName>
    <definedName name="TRNR_76ec312fcd5943a180e4fccb4e722a39_119_2" hidden="1">#REF!</definedName>
    <definedName name="TRNR_771d2a6a0ef142479fa8a5460891ddd5_767_7" hidden="1">#REF!</definedName>
    <definedName name="TRNR_771e1ba4eaa145df8cc30231be40a11d_1_2" hidden="1">#REF!</definedName>
    <definedName name="TRNR_77243de20cbb4469bd81103fdfb66573_10_1" hidden="1">#REF!</definedName>
    <definedName name="TRNR_77302bf6f05d4f48b547022e8c712f1c_162_2" hidden="1">#REF!</definedName>
    <definedName name="TRNR_7735426819024544b8881a4ce887b278_9_1" hidden="1">#REF!</definedName>
    <definedName name="TRNR_77481e8991904c74bba9db8870d8ebf6_751_2" hidden="1">#REF!</definedName>
    <definedName name="TRNR_775e0fc575b54a66958227282451296c_154_1" hidden="1">#REF!</definedName>
    <definedName name="TRNR_77686d06dc6948c5abe23f28e89f45aa_419_3" hidden="1">#REF!</definedName>
    <definedName name="TRNR_776df131906f46f0913ec404f45fdff0_412_3" hidden="1">#REF!</definedName>
    <definedName name="TRNR_777c4e7e68c34c688652df3d469aea94_13_1" hidden="1">#REF!</definedName>
    <definedName name="TRNR_778c15c68b494f36a30211c434028cab_133_2" hidden="1">#REF!</definedName>
    <definedName name="TRNR_77a89e6f91e04f708005b8b14ddc97d5_362_3" hidden="1">#REF!</definedName>
    <definedName name="TRNR_77b64dea7fe641d2ac4f70b90f5958c2_185_2" hidden="1">#REF!</definedName>
    <definedName name="TRNR_77b66ddb8bb346aba65f1ca1aadf1d15_569_2" hidden="1">#REF!</definedName>
    <definedName name="TRNR_77badbc33e9a4da3ba267ad2e219c541_630_2" hidden="1">#REF!</definedName>
    <definedName name="TRNR_77bc090d3ef74853b82b843e2ce727f3_117_2" hidden="1">#REF!</definedName>
    <definedName name="TRNR_77e01cde83374daa86a19274cb7e443d_7_4" hidden="1">#REF!</definedName>
    <definedName name="TRNR_77e1b165ed414bf1ab9ae323555bfe36_391_2" hidden="1">#REF!</definedName>
    <definedName name="TRNR_77ea4ffdfaa540b2b6ae1d38ba224652_374_1" hidden="1">#REF!</definedName>
    <definedName name="TRNR_7800d17acc7c436c870bec6ce62c9325_222_3" hidden="1">#REF!</definedName>
    <definedName name="TRNR_7806103b6e5d4a679f8c5fbc44e65697_539_2" hidden="1">#REF!</definedName>
    <definedName name="TRNR_78162473fe3f4ce8888832339fbd9c5b_392_2" hidden="1">#REF!</definedName>
    <definedName name="TRNR_781f22f858ed43ee8226d1b36c1da443_589_1" hidden="1">#REF!</definedName>
    <definedName name="TRNR_7837c0291f014e59a9eb586d60ad4854_975_2" hidden="1">#REF!</definedName>
    <definedName name="TRNR_784b0cfd67194e998b5d567b8f704b6d_16_1" hidden="1">#REF!</definedName>
    <definedName name="TRNR_784fcfa154de41e486c2391dcb050272_118_2" hidden="1">#REF!</definedName>
    <definedName name="TRNR_7868fbebb84b4f389f363f9342654928_16_1" hidden="1">#REF!</definedName>
    <definedName name="TRNR_788610433bbc4d41b563beba8cd3b9e9_780_2" hidden="1">#REF!</definedName>
    <definedName name="TRNR_7888aa7c5e654f5eb8657f4d090d907f_191_2" hidden="1">#REF!</definedName>
    <definedName name="TRNR_789050d57a004cf083d3f1b4460c62a6_150_3" hidden="1">#REF!</definedName>
    <definedName name="TRNR_789ef64444434e3b8ddf911db2824d8a_529_1" hidden="1">#REF!</definedName>
    <definedName name="TRNR_78b2b84d375445118aecaeb712811d4e_13_1" hidden="1">#REF!</definedName>
    <definedName name="TRNR_78cd85fcac8b4acaba81aa8d32dd26a0_146_2" hidden="1">#REF!</definedName>
    <definedName name="TRNR_78d9340dade742c692170a41c6ac98f3_42_1" hidden="1">#REF!</definedName>
    <definedName name="TRNR_78d93b2b25a6457a94b894f2ab6f2e23_241_9" hidden="1">#REF!</definedName>
    <definedName name="TRNR_78d94374635f44349b3f229ec75deee7_3197_1" hidden="1">#REF!</definedName>
    <definedName name="TRNR_78d9869895044769b2a712447bb97401_151_1" hidden="1">#REF!</definedName>
    <definedName name="TRNR_78e7d53b8168431eac17b07c8e2dcf3f_545_2" hidden="1">#REF!</definedName>
    <definedName name="TRNR_790b3e30257f4b5e9d804591644bdce4_480_3" hidden="1">#REF!</definedName>
    <definedName name="TRNR_7939e826dca348adaacae218e9bd8df3_9_1" hidden="1">#REF!</definedName>
    <definedName name="TRNR_793b5a92e48e4182bcaca2940e95fae2_612_1" hidden="1">#REF!</definedName>
    <definedName name="TRNR_7942c31fd3784d26b4648b73e55c5a12_851_6" hidden="1">#REF!</definedName>
    <definedName name="TRNR_79465373b9df40d3998de6b0518c31d2_11_3" hidden="1">#REF!</definedName>
    <definedName name="TRNR_79571ec340184306b73c41dc2ff56038_46_2" hidden="1">#REF!</definedName>
    <definedName name="TRNR_7959384f4d614aeab3f0958177811310_150_4" hidden="1">#REF!</definedName>
    <definedName name="TRNR_796a891d6db94a408fdf94e319a1fd52_304_4" hidden="1">#REF!</definedName>
    <definedName name="TRNR_7977099072d04147886d80fe7f2e9212_522_5" hidden="1">#REF!</definedName>
    <definedName name="TRNR_797f94c0910b44409574e862ea330e07_3328_2" hidden="1">#REF!</definedName>
    <definedName name="TRNR_79996331feec4bab8a0d920c93a0da30_133_2" hidden="1">#REF!</definedName>
    <definedName name="TRNR_7999b8cff2aa408fb3d699dca3767c45_69_1" hidden="1">#REF!</definedName>
    <definedName name="TRNR_79a5ab22cea24402a1afeb52eba46abe_283_8" hidden="1">#REF!</definedName>
    <definedName name="TRNR_79c3206933c4492ab018864c3b25a375_241_2" hidden="1">#REF!</definedName>
    <definedName name="TRNR_79cea9e4c82c474a88425979d563c40b_817_2" hidden="1">#REF!</definedName>
    <definedName name="TRNR_79e42fc94a05498f9cea5e5a63c1ac39_155_1" hidden="1">#REF!</definedName>
    <definedName name="TRNR_79f6d91919b140d3aa7fb5decf1ed40c_13_1" hidden="1">#REF!</definedName>
    <definedName name="TRNR_7a0572b95c36449690ed0dc97bf0a307_139_1" hidden="1">#REF!</definedName>
    <definedName name="TRNR_7a271e937e174a81af45c999ed43a939_149_2" hidden="1">#REF!</definedName>
    <definedName name="TRNR_7a4880cff3c1411db1a5a41cd09964eb_644_2" hidden="1">#REF!</definedName>
    <definedName name="TRNR_7a48912ada844ab697fe4a1ebc2abffc_13_1" hidden="1">#REF!</definedName>
    <definedName name="TRNR_7a4c137ad6244d1a824b1c7098a2ebd4_175_2" hidden="1">#REF!</definedName>
    <definedName name="TRNR_7a5a89742cb846a4827315d44fdfbad4_241_3" hidden="1">#REF!</definedName>
    <definedName name="TRNR_7a69098580f545ddb48a24b2e92936e6_16_1" hidden="1">#REF!</definedName>
    <definedName name="TRNR_7a91c3f93a7b468ab92f226f5f8e8537_744_2" hidden="1">#REF!</definedName>
    <definedName name="TRNR_7a9d5d76921c4093bd5632701620aa4f_16_1" hidden="1">#REF!</definedName>
    <definedName name="TRNR_7a9f2c39c97a4e979d08c92ce3671a5f_511_1" hidden="1">#REF!</definedName>
    <definedName name="TRNR_7ab51d5dbb414ce5b8ebad54d52dcf84_291_1" hidden="1">#REF!</definedName>
    <definedName name="TRNR_7ae445b0cc2b4ce896ccf8a5af03baf0_358_2" hidden="1">#REF!</definedName>
    <definedName name="TRNR_7b0c01c9aace4ff586a062ad4db17a60_612_2" hidden="1">#REF!</definedName>
    <definedName name="TRNR_7b12e5ed57c040ea915a44f1e994d4ea_428_3" hidden="1">#REF!</definedName>
    <definedName name="TRNR_7b3c0b4a5e2841f0a498f93c089dba3e_16_1" hidden="1">#REF!</definedName>
    <definedName name="TRNR_7b4af020e15d470e9e72e4934e691be5_513_1" hidden="1">#REF!</definedName>
    <definedName name="TRNR_7b4bc37824df4c968742f968890e90a7_381_3" hidden="1">#REF!</definedName>
    <definedName name="TRNR_7b570c9a46ad46bab978a20502ce2000_119_2" hidden="1">#REF!</definedName>
    <definedName name="TRNR_7b5c471f759b42cab5284e42ecee56f9_9_1" hidden="1">#REF!</definedName>
    <definedName name="TRNR_7b5c9f4a64b444c5ac83a1870bfb2bf7_16_1" hidden="1">#REF!</definedName>
    <definedName name="TRNR_7b5dc92fe2d44383ade189d726c1c6a8_267_2" hidden="1">#REF!</definedName>
    <definedName name="TRNR_7b615b645bf242eca4822d2b48e1e0b4_16_1" hidden="1">#REF!</definedName>
    <definedName name="TRNR_7b61b63f5ebf4d9f837328045958c946_14_1" hidden="1">#REF!</definedName>
    <definedName name="TRNR_7b6c334a85af4f7cb82ed7472e8de9ae_24_2" hidden="1">#REF!</definedName>
    <definedName name="TRNR_7b74f6dd4b12484ab812ac12256fd522_372_4" hidden="1">#REF!</definedName>
    <definedName name="TRNR_7b90a384eb2445ccbabd1979c923dfad_196_3" hidden="1">#REF!</definedName>
    <definedName name="TRNR_7b94620d762145e3b99881200a46680a_469_2" hidden="1">#REF!</definedName>
    <definedName name="TRNR_7b9d4c03f80d402aa4d8a20b08a8399d_13_1" hidden="1">#REF!</definedName>
    <definedName name="TRNR_7b9dce3f536f4a71a9b0d125268149e5_326_3" hidden="1">#REF!</definedName>
    <definedName name="TRNR_7ba02993781f47e88b3069ac18a07271_334_3" hidden="1">#REF!</definedName>
    <definedName name="TRNR_7bc0de97b6dc4777981e20f9c4a3b01a_162_1" hidden="1">#REF!</definedName>
    <definedName name="TRNR_7bc6fa76b68747bcb6c16cc335619155_16_1" hidden="1">#REF!</definedName>
    <definedName name="TRNR_7bd820ef69ed4cbb830ea4f217041017_376_6" hidden="1">#REF!</definedName>
    <definedName name="TRNR_7be6c8996ae94281908242cc7535280d_138_2" hidden="1">#REF!</definedName>
    <definedName name="TRNR_7c080d9ba3ef4151a797419d4349a0db_24_3" hidden="1">#REF!</definedName>
    <definedName name="TRNR_7c0c1911565843c3803e8659c9abcc86_453_1" hidden="1">#REF!</definedName>
    <definedName name="TRNR_7c1055fb75854d34a13e7726df710542_522_2" hidden="1">#REF!</definedName>
    <definedName name="TRNR_7c1a69f25f6d4a24a0438ec79694e8be_36_3" hidden="1">#REF!</definedName>
    <definedName name="TRNR_7c44044e06944b1695e9402196cd3c94_125_1" hidden="1">#REF!</definedName>
    <definedName name="TRNR_7c4c93ab51394107b82c30783ee2f888_454_3" hidden="1">#REF!</definedName>
    <definedName name="TRNR_7c56427a8bd34a88ab092a0addd28194_635_2" hidden="1">#REF!</definedName>
    <definedName name="TRNR_7c641cc1eec84622bc87183ec703c855_1083_8" hidden="1">#REF!</definedName>
    <definedName name="TRNR_7c65e01f205249dcb35272509f050eba_542_2" hidden="1">#REF!</definedName>
    <definedName name="TRNR_7c7270a37e4d4e9d8e56975567115c2d_209_2" hidden="1">#REF!</definedName>
    <definedName name="TRNR_7c8f20897ed8434c9f4ffbafeb6fc608_822_8" hidden="1">#REF!</definedName>
    <definedName name="TRNR_7c95ed05ab3b44bbbd040a6a21d9245a_238_2" hidden="1">#REF!</definedName>
    <definedName name="TRNR_7c9784e96a7344ed9a2c860bf5c5eb51_835_2" hidden="1">#REF!</definedName>
    <definedName name="TRNR_7c9bcf5f8e584d4393254941c2c8aa44_241_9" hidden="1">#REF!</definedName>
    <definedName name="TRNR_7ca21339ea5e492181ceddbd6f1dc0cf_2_1" hidden="1">#REF!</definedName>
    <definedName name="TRNR_7ca33773ba8c4b7da53b189d750f5288_420_3" hidden="1">#REF!</definedName>
    <definedName name="TRNR_7cab4868528b4ceea0bc8c3568df7c01_829_2" hidden="1">#REF!</definedName>
    <definedName name="TRNR_7cb80438189d479688b7d0d1e24994bb_350_3" hidden="1">#REF!</definedName>
    <definedName name="TRNR_7ce5146b7f914465b45255dc4c751f00_3_1" hidden="1">#REF!</definedName>
    <definedName name="TRNR_7cfe2cbc5ba1476db55202339f9f06ac_7_1" hidden="1">#REF!</definedName>
    <definedName name="TRNR_7d04eca2a5eb43afb8cc759ed14a07ef_155_3" hidden="1">#REF!</definedName>
    <definedName name="TRNR_7d0b6c2c44de4bafb603233c0aaa32b9_13_1" hidden="1">#REF!</definedName>
    <definedName name="TRNR_7d1603a3819e42d993ae23465be93427_13_1" hidden="1">#REF!</definedName>
    <definedName name="TRNR_7d210a8e18fd404b98201ce2ace67090_540_1" hidden="1">#REF!</definedName>
    <definedName name="TRNR_7d28dc0dba5d44a3b9c1511d6bc2b2c5_246_3" hidden="1">#REF!</definedName>
    <definedName name="TRNR_7d29aaaf84f944568bb613b685c46365_6_2" hidden="1">#REF!</definedName>
    <definedName name="TRNR_7d3ee3a42c5540d485e94d6bf25eed83_181_2" hidden="1">#REF!</definedName>
    <definedName name="TRNR_7d7ef7b8014e4e61a3ad83e29e3fea07_9_1" hidden="1">#REF!</definedName>
    <definedName name="TRNR_7d7ffc1d30e442a795aaac01433e3c1b_13_1" hidden="1">#REF!</definedName>
    <definedName name="TRNR_7d861b2ce2e145bd8cacd2724c2a7446_121_2" hidden="1">#REF!</definedName>
    <definedName name="TRNR_7d90211f5da64c33a2c11012562f04e9_23_2" hidden="1">#REF!</definedName>
    <definedName name="TRNR_7d9695e1f98c4060a0e7626115181ff3_109_1" hidden="1">#REF!</definedName>
    <definedName name="TRNR_7d9f31e47fa24892b547271359739e20_377_1" hidden="1">#REF!</definedName>
    <definedName name="TRNR_7db64ceaf41a4b19b2b9352757e6a0b7_152_1" hidden="1">#REF!</definedName>
    <definedName name="TRNR_7db83ae3e9504843ae6bd47cb1466771_3640_2" hidden="1">#REF!</definedName>
    <definedName name="TRNR_7dbb9dacf1fc4805aeeb74bffdb43d07_405_2" hidden="1">#REF!</definedName>
    <definedName name="TRNR_7de5e57701b54722948f6036e17b7e03_437_4" hidden="1">#REF!</definedName>
    <definedName name="TRNR_7ded4b913db5445d89c2dd7d83cf6a1d_317_2" hidden="1">#REF!</definedName>
    <definedName name="TRNR_7dfd18f3773541689a385b39254af2e9_8_5" hidden="1">#REF!</definedName>
    <definedName name="TRNR_7e127de56296435cb5c72c49c114c5c7_14_1" hidden="1">#REF!</definedName>
    <definedName name="TRNR_7e148a0af0fd4e4abb2814769a8cb241_245_2" hidden="1">#REF!</definedName>
    <definedName name="TRNR_7e151e97c0164f3fa9a43861a45da18c_9_1" hidden="1">#REF!</definedName>
    <definedName name="TRNR_7e25dfa808a34c1ebb6dd70f8f4e3f8d_366_2" hidden="1">#REF!</definedName>
    <definedName name="TRNR_7e66b86af0e44551ad209881e65c7e2d_118_1" hidden="1">#REF!</definedName>
    <definedName name="TRNR_7e686f414f144c0b907b9e49e0496edc_588_2" hidden="1">#REF!</definedName>
    <definedName name="TRNR_7e697e40742d41b78ab96cade0379c29_422_3" hidden="1">#REF!</definedName>
    <definedName name="TRNR_7e89a54ae9c4411eba5c6ad1138ae0be_16_1" hidden="1">#REF!</definedName>
    <definedName name="TRNR_7eb45b6b805649ea8e03a80115b328a8_315_2" hidden="1">#REF!</definedName>
    <definedName name="TRNR_7eb870d0d8ce4332b9c4ec4e0217c5ad_762_2" hidden="1">#REF!</definedName>
    <definedName name="TRNR_7eba68d943424d12a065914e7365500a_289_3" hidden="1">#REF!</definedName>
    <definedName name="TRNR_7ebabe4965c848d980eb40e135ad3afe_133_2" hidden="1">#REF!</definedName>
    <definedName name="TRNR_7ece7bb765964b3d85e9b8b0d5523c31_23_4" hidden="1">#REF!</definedName>
    <definedName name="TRNR_7ed67bbca772485b8935258adf6d4ba7_149_2" hidden="1">#REF!</definedName>
    <definedName name="TRNR_7f0741447034477285cf447b6004b28a_117_2" hidden="1">#REF!</definedName>
    <definedName name="TRNR_7f0df25458ec4e42ab5ee12fee9cd3cb_510_4" hidden="1">#REF!</definedName>
    <definedName name="TRNR_7f1592f19efa452db126a7401cae6563_13_1" hidden="1">#REF!</definedName>
    <definedName name="TRNR_7f165dd08f7949c79754adcfcfab905d_25_8" hidden="1">#REF!</definedName>
    <definedName name="TRNR_7f166f9ecd85486e97d2abe3062c22ed_115_10" hidden="1">#REF!</definedName>
    <definedName name="TRNR_7f2aff8d0e874aa29c22e5fcd039ce3e_16_1" hidden="1">#REF!</definedName>
    <definedName name="TRNR_7f51bac8663a4849bb7cecd1925e77de_543_2" hidden="1">#REF!</definedName>
    <definedName name="TRNR_7f5f8cef2ee044698cf13ae9e4b50121_440_4" hidden="1">#REF!</definedName>
    <definedName name="TRNR_7f5fb53ac4e040559618570ed600e117_120_1" hidden="1">#REF!</definedName>
    <definedName name="TRNR_7f736185a49e494dabe8e93cbcac5764_16_1" hidden="1">#REF!</definedName>
    <definedName name="TRNR_7f7f9780f98c4092880c3ff0bc1db38e_8_1" hidden="1">#REF!</definedName>
    <definedName name="TRNR_7f878da699f34bbda1e25c2d3ff853f3_2676_1" hidden="1">#REF!</definedName>
    <definedName name="TRNR_7fae6f9e7aae436e936b5c21c557bd99_8_8" hidden="1">#REF!</definedName>
    <definedName name="TRNR_7faf205a7c094f2d9fc13bfb1714bda4_7_1" hidden="1">#REF!</definedName>
    <definedName name="TRNR_7fc3a282a1fc469fa2a6b04aefc5d575_420_2" hidden="1">#REF!</definedName>
    <definedName name="TRNR_7fd994b306f348009ddd061144042eba_528_5" hidden="1">#REF!</definedName>
    <definedName name="TRNR_7fdfa0e694d547289667d342c8d548f2_333_3" hidden="1">#REF!</definedName>
    <definedName name="TRNR_802dae0340ef4b1e922c5ee55ff3d064_37_1" hidden="1">#REF!</definedName>
    <definedName name="TRNR_80474b6728734278b005508680986564_5_6" hidden="1">#REF!</definedName>
    <definedName name="TRNR_80510e5f31c24b59bec2de6cd5befb5c_94_1" hidden="1">#REF!</definedName>
    <definedName name="TRNR_806369d6dba54a3e9b158f2b98ce0344_518_1" hidden="1">#REF!</definedName>
    <definedName name="TRNR_80806f412f5040df98dade11db184043_9_1" hidden="1">#REF!</definedName>
    <definedName name="TRNR_80a711f7ea58428bbd122c0853b6b052_153_4" hidden="1">#REF!</definedName>
    <definedName name="TRNR_80cf7aea4a734bd7bf6f502aa6fb2dcd_7_1" hidden="1">#REF!</definedName>
    <definedName name="TRNR_81387bdb465048bfa88aa919913641e0_27_7" hidden="1">#REF!</definedName>
    <definedName name="TRNR_813d13c386cf456c8e1bb3810c451210_16_1" hidden="1">#REF!</definedName>
    <definedName name="TRNR_81466cff2c2c4753abab3867cb7e56d3_795_2" hidden="1">#REF!</definedName>
    <definedName name="TRNR_814f5c09d5db470aafe82d97591a88ff_35_1" hidden="1">#REF!</definedName>
    <definedName name="TRNR_8157fb2d2f454e33a0776a60f5a0abd7_141_2" hidden="1">#REF!</definedName>
    <definedName name="TRNR_8161fb28f0844703866f548d68e7bb3c_455_2" hidden="1">#REF!</definedName>
    <definedName name="TRNR_8162a8d6fd5842a8bccecd65a5da22db_23_4" hidden="1">#REF!</definedName>
    <definedName name="TRNR_8181104da4be420d84207122ea77a451_956_8" hidden="1">#REF!</definedName>
    <definedName name="TRNR_81917fc3dbdd4fc0b3bb556ecc8ec257_31_4" hidden="1">#REF!</definedName>
    <definedName name="TRNR_819b465509694a5bbb5758d9d53c402c_119_1" hidden="1">#REF!</definedName>
    <definedName name="TRNR_81b0b94e6bd7422295ad77dc3d46c7f5_8_1" hidden="1">#REF!</definedName>
    <definedName name="TRNR_81be7bad04544b6b9aa7e8ae9099d2a6_539_2" hidden="1">#REF!</definedName>
    <definedName name="TRNR_81d24663471a4da681e251c3507e48df_16_1" hidden="1">#REF!</definedName>
    <definedName name="TRNR_81d88109cd3b45a1b93d65ece8be9ae3_31_4" hidden="1">#REF!</definedName>
    <definedName name="TRNR_81e263666a28476f9ff2c26df10f4f63_33_4" hidden="1">#REF!</definedName>
    <definedName name="TRNR_81edc59448334f72acff586634ccb833_556_4" hidden="1">#REF!</definedName>
    <definedName name="TRNR_81fcedd0170d4632b8a4d93c473fb73b_1047_8" hidden="1">#REF!</definedName>
    <definedName name="TRNR_81fd0dae1ecc48209adb8cb9175a9db4_94_2" hidden="1">#REF!</definedName>
    <definedName name="TRNR_8203ff28774c426a9f96e87ed3b71ac3_134_4" hidden="1">#REF!</definedName>
    <definedName name="TRNR_8205aa287b6e4b63a2c4d6b7303ef1c7_353_4" hidden="1">#REF!</definedName>
    <definedName name="TRNR_8210203bef10483e8acddc10c8f00fba_266_2" hidden="1">#REF!</definedName>
    <definedName name="TRNR_8212ffd93d314969a2d42ef427b622bb_149_1" hidden="1">#REF!</definedName>
    <definedName name="TRNR_82191415a8b14ee38d286243be0e3c63_426_2" hidden="1">#REF!</definedName>
    <definedName name="TRNR_8224b7b8acdb451db468ed44a56f57a1_311_2" hidden="1">#REF!</definedName>
    <definedName name="TRNR_823bd3c40c0045598763f3ae19e267e7_419_4" hidden="1">#REF!</definedName>
    <definedName name="TRNR_823c9abde01c467aaefe297fa7cf313d_9_1" hidden="1">#REF!</definedName>
    <definedName name="TRNR_8250572234114e74b489b52ea0e6b240_558_4" hidden="1">#REF!</definedName>
    <definedName name="TRNR_8254eb33f9114c0cbcff5c9fa2a4f6d6_543_2" hidden="1">#REF!</definedName>
    <definedName name="TRNR_825b58ab7f934d4dbb04924829365cd7_584_2" hidden="1">#REF!</definedName>
    <definedName name="TRNR_825f4823cae345c2818cbfe58855f92c_11_3" hidden="1">#REF!</definedName>
    <definedName name="TRNR_825fb2b7158641b2b8a6b36625eb50b9_241_4" hidden="1">#REF!</definedName>
    <definedName name="TRNR_827026ed140c4ce594fab720d050c455_385_2" hidden="1">#REF!</definedName>
    <definedName name="TRNR_828d41f104c8456fb381a37d6ef0af24_13_1" hidden="1">#REF!</definedName>
    <definedName name="TRNR_82a2d36c29264dd8b72da20f035ee2ab_10_1" hidden="1">#REF!</definedName>
    <definedName name="TRNR_82ab45372712472ea17a8077316ac473_290_3" hidden="1">#REF!</definedName>
    <definedName name="TRNR_82b12cb3dfd6460c80b970ad25638546_2740_2" hidden="1">#REF!</definedName>
    <definedName name="TRNR_82b8f7bcd0f945b0a44233a6a000806e_244_4" hidden="1">#REF!</definedName>
    <definedName name="TRNR_82c478afb2f74505b1f6943ee1f2ed82_16_1" hidden="1">#REF!</definedName>
    <definedName name="TRNR_82f6351b67f944ad81e9512d631f02c1_834_7" hidden="1">#REF!</definedName>
    <definedName name="TRNR_82fb54fd05884147bba6c344e50416ac_104_2" hidden="1">#REF!</definedName>
    <definedName name="TRNR_8300445022b6461194f31465bdc47748_591_4" hidden="1">#REF!</definedName>
    <definedName name="TRNR_8301e71e852a48f0a936428bd9c2d312_368_4" hidden="1">#REF!</definedName>
    <definedName name="TRNR_8336ea6307f742e79aeb1f654bbe1d6a_632_4" hidden="1">#REF!</definedName>
    <definedName name="TRNR_833f773430ae4966953056b0ac3de0d0_542_3" hidden="1">#REF!</definedName>
    <definedName name="TRNR_834118d28f4c4acf938fc9aef69d71b3_118_1" hidden="1">#REF!</definedName>
    <definedName name="TRNR_8346625916d443b79f4265d5e87aac89_9_1" hidden="1">#REF!</definedName>
    <definedName name="TRNR_834c26b062184f90812322c8b40e57b1_172_1" hidden="1">#REF!</definedName>
    <definedName name="TRNR_83538e0f4fd448c584f4c6cf45f666dc_215_2" hidden="1">#REF!</definedName>
    <definedName name="TRNR_835a5cbaa01a4dae9c34850ce8cb8642_106_1" hidden="1">#REF!</definedName>
    <definedName name="TRNR_835aef1636bd4dd7827249d144ade16b_35_1" hidden="1">#REF!</definedName>
    <definedName name="TRNR_8370734c14a24f1e9a68e714522c09f9_455_2" hidden="1">#REF!</definedName>
    <definedName name="TRNR_8374f90112e1457e9306cf87e8e502f5_149_2" hidden="1">#REF!</definedName>
    <definedName name="TRNR_83781f439d02437d80e5e2e3ce6e5d30_13_1" hidden="1">#REF!</definedName>
    <definedName name="TRNR_839c4cb1b48a4cadbbfcab703cb52ce9_144_4" hidden="1">#REF!</definedName>
    <definedName name="TRNR_83a27d0344a74417b2aef6e17af9ddcb_6_1" hidden="1">#REF!</definedName>
    <definedName name="TRNR_83bac5a3714a4d06b8434eb007be4cfc_594_1" hidden="1">#REF!</definedName>
    <definedName name="TRNR_83bb698ba7954bf79c8a152575b06d03_232_3" hidden="1">#REF!</definedName>
    <definedName name="TRNR_83be1b9070d74aa18524287b51135919_62_2" hidden="1">#REF!</definedName>
    <definedName name="TRNR_83d52139fb0b439481c4ccc60299b1fa_14_1" hidden="1">#REF!</definedName>
    <definedName name="TRNR_83ef9ee359a9498781db3d2151b3d940_240_2" hidden="1">#REF!</definedName>
    <definedName name="TRNR_84001c45eeeb46709d75eb6095f6c254_118_2" hidden="1">#REF!</definedName>
    <definedName name="TRNR_8402e665f2fe4cf2882c7a44b486a828_24_2" hidden="1">#REF!</definedName>
    <definedName name="TRNR_84170b2545534701926ce81d92b6ec47_13_1" hidden="1">#REF!</definedName>
    <definedName name="TRNR_841c6419c4d54631aa0a0e6bcb1003f2_141_1" hidden="1">#REF!</definedName>
    <definedName name="TRNR_8429f1bc1119497393bf3ba374b572fa_2345_2" hidden="1">#REF!</definedName>
    <definedName name="TRNR_8435e48d06494f39a490f75257304fda_383_1" hidden="1">#REF!</definedName>
    <definedName name="TRNR_843605540fff4e1fa525517c7ac66c09_133_1" hidden="1">#REF!</definedName>
    <definedName name="TRNR_8445917a82744892b4c3d20d90dbcea7_291_3" hidden="1">#REF!</definedName>
    <definedName name="TRNR_84569091db3f40c8917ff04369a4cf0c_809_2" hidden="1">#REF!</definedName>
    <definedName name="TRNR_84885a91567a45848f6cc454d095bf1a_384_11" hidden="1">#REF!</definedName>
    <definedName name="TRNR_84a6a9b5389d4ea1a454aa5e0b25d5b0_242_2" hidden="1">#REF!</definedName>
    <definedName name="TRNR_84ad72a29b4045eca7dc03c7e92a0610_203_2" hidden="1">#REF!</definedName>
    <definedName name="TRNR_84aea9b8ce0f438e8e10909fa7ffb0dc_501_2" hidden="1">#REF!</definedName>
    <definedName name="TRNR_84b94e075db5478a9f6d559cfd056551_119_1" hidden="1">#REF!</definedName>
    <definedName name="TRNR_84bc061612214df3bce3fd2ece5e61be_275_2" hidden="1">#REF!</definedName>
    <definedName name="TRNR_84c057f995224c65b844861fb0dab00f_10_1" hidden="1">#REF!</definedName>
    <definedName name="TRNR_84c092173e9a45c38524ad6864a8b363_390_3" hidden="1">#REF!</definedName>
    <definedName name="TRNR_84c2c7cbc81f40c4938a7fe3dce6140d_257_3" hidden="1">#REF!</definedName>
    <definedName name="TRNR_852bbe704dea4092b352fee4d02d135d_13_1" hidden="1">#REF!</definedName>
    <definedName name="TRNR_8547c40bbf9b4725b89d39f1c76d0a69_244_4" hidden="1">#REF!</definedName>
    <definedName name="TRNR_856e919446e34c5a9fd62b415467dfb1_365_3" hidden="1">#REF!</definedName>
    <definedName name="TRNR_857666093783462db0468f91e78f27f9_559_2" hidden="1">#REF!</definedName>
    <definedName name="TRNR_85863390697d4d2898e2ffcdd83fdb0f_148_3" hidden="1">#REF!</definedName>
    <definedName name="TRNR_85a710c2a0824a449579b253adc9d5e7_50_1" hidden="1">#REF!</definedName>
    <definedName name="TRNR_85ada16dbcfb41faaf31d82eb9b979ca_118_1" hidden="1">#REF!</definedName>
    <definedName name="TRNR_85c7e0c03f6648b39f831501895c28c9_23_4" hidden="1">#REF!</definedName>
    <definedName name="TRNR_85cf9334553e46638da9390536f541b4_157_4" hidden="1">#REF!</definedName>
    <definedName name="TRNR_85e4559411df4c4ebb99294ffe84c0fd_544_2" hidden="1">#REF!</definedName>
    <definedName name="TRNR_86492ae1363a4d2699eb94a0f66f5e94_120_2" hidden="1">#REF!</definedName>
    <definedName name="TRNR_864bbff31f534d28b4d6a9bef8476c1b_1086_7" hidden="1">#REF!</definedName>
    <definedName name="TRNR_86510fb361c74362901a7aa3146a189a_152_1" hidden="1">#REF!</definedName>
    <definedName name="TRNR_865eedd2c5044082b8717078ff52798f_2773_1" hidden="1">#REF!</definedName>
    <definedName name="TRNR_86622b9595554a1ebe3c4901e17a6bfc_3335_2" hidden="1">#REF!</definedName>
    <definedName name="TRNR_8662eb66a1b341adbdff87afce3dba9b_2_5" hidden="1">#REF!</definedName>
    <definedName name="TRNR_866c6da18f02414c9cf3e35984e6efa6_9_10" hidden="1">#REF!</definedName>
    <definedName name="TRNR_86704165af724348b1c830f419807a81_425_3" hidden="1">#REF!</definedName>
    <definedName name="TRNR_867397e3db6b467bba90b2ea56411925_597_2" hidden="1">#REF!</definedName>
    <definedName name="TRNR_867c78e896f34089905ce33a9e1a268c_523_2" hidden="1">#REF!</definedName>
    <definedName name="TRNR_8684e4f365a24a69a2d1e6d9d029fb7d_112_1" hidden="1">#REF!</definedName>
    <definedName name="TRNR_86968a2fd7eb4a229c11d658e1172da9_45_3" hidden="1">#REF!</definedName>
    <definedName name="TRNR_86a174d0eee84b93a6665a0011ee4666_523_2" hidden="1">#REF!</definedName>
    <definedName name="TRNR_86a2ec0643fc4f3b8d86d7ebbb695605_10_1" hidden="1">#REF!</definedName>
    <definedName name="TRNR_86a6bf994b604f40a88badc121ab7564_297_3" hidden="1">#REF!</definedName>
    <definedName name="TRNR_86a8d9c5380346b48a482f0a31d13adb_246_2" hidden="1">#REF!</definedName>
    <definedName name="TRNR_86b335ec0335406a9726c696e0ea4628_10_1" hidden="1">#REF!</definedName>
    <definedName name="TRNR_86fbaccf8d6c42539309a33d4483d1bc_419_2" hidden="1">#REF!</definedName>
    <definedName name="TRNR_8709a48e50de4275bd338e95cd9eefea_421_3" hidden="1">#REF!</definedName>
    <definedName name="TRNR_871b9acf187f42509162f7e00a519dac_725_2" hidden="1">#REF!</definedName>
    <definedName name="TRNR_872d5f24258744fbac41cbd37a3731d9_13_1" hidden="1">#REF!</definedName>
    <definedName name="TRNR_8741ecfc3905418a8eded2ba9425e1b1_10_1" hidden="1">#REF!</definedName>
    <definedName name="TRNR_874b04eda3784e08a0f16171aedd13e1_62_2" hidden="1">#REF!</definedName>
    <definedName name="TRNR_874bf38b32e0477e8f9f68326347e576_124_2" hidden="1">#REF!</definedName>
    <definedName name="TRNR_875bfba0cd71444b98999fa2bc74616c_133_2" hidden="1">#REF!</definedName>
    <definedName name="TRNR_87625166c01e4696b52e29c12b117150_149_9" hidden="1">#REF!</definedName>
    <definedName name="TRNR_877b7a1dae774ab19ea0aacd3d14c75d_13_1" hidden="1">#REF!</definedName>
    <definedName name="TRNR_877fc4bb71c14a45be8458959fcb8e26_9_1" hidden="1">#REF!</definedName>
    <definedName name="TRNR_8789c695eff94b6d8c1cb6817fbbf758_144_4" hidden="1">#REF!</definedName>
    <definedName name="TRNR_87acf0be9cc34430b2e52e47bc92b0d0_9_10" hidden="1">#REF!</definedName>
    <definedName name="TRNR_87bec36ab56b4f4683dcc3a32f74d2cd_13_1" hidden="1">#REF!</definedName>
    <definedName name="TRNR_87d00ac06cf643c590c8556cef913b0b_361_3" hidden="1">#REF!</definedName>
    <definedName name="TRNR_87db9f59557249b8a64a52e6aa8e5696_300_3" hidden="1">#REF!</definedName>
    <definedName name="TRNR_87dd5ca10a5a44978356b0292f09b6da_96_2" hidden="1">#REF!</definedName>
    <definedName name="TRNR_87e94effbd5346d0a01c5ab5bb015144_16_1" hidden="1">#REF!</definedName>
    <definedName name="TRNR_87fc72d76d5b4f3b830aa01dbf1b1400_829_5" hidden="1">#REF!</definedName>
    <definedName name="TRNR_8807ea37a1394d4b946bcac5fd371ebf_942_8" hidden="1">#REF!</definedName>
    <definedName name="TRNR_8826a6a0baa84f5dafdb2f0dc67e2b31_381_2" hidden="1">#REF!</definedName>
    <definedName name="TRNR_882c0d127bed42d0b0b301ff73c2763c_13_1" hidden="1">#REF!</definedName>
    <definedName name="TRNR_883096c14bd14816a30f56a8a381173e_133_2" hidden="1">#REF!</definedName>
    <definedName name="TRNR_8836e56b984848b5b04d94bd7ca10760_13_1" hidden="1">#REF!</definedName>
    <definedName name="TRNR_8838573f705b42ac842ea75c0f42515b_42_6" hidden="1">#REF!</definedName>
    <definedName name="TRNR_8848285828b245a382a39f391776b109_13_1" hidden="1">#REF!</definedName>
    <definedName name="TRNR_8862c273f3ae4993853309fbfd41fc35_455_2" hidden="1">#REF!</definedName>
    <definedName name="TRNR_887109143619418f8ba3ae033820852a_433_4" hidden="1">#REF!</definedName>
    <definedName name="TRNR_88771125eff44749aec4c71b9ae93603_150_3" hidden="1">#REF!</definedName>
    <definedName name="TRNR_888b8a4ebaca4291a609cdb08a7bea8a_144_4" hidden="1">#REF!</definedName>
    <definedName name="TRNR_889898f5911d41b2aad27f56f8a83aac_369_4" hidden="1">#REF!</definedName>
    <definedName name="TRNR_88994b4c0de44938a79a2748b8019b92_146_3" hidden="1">#REF!</definedName>
    <definedName name="TRNR_88ab1fc658a842e0bd007b7e30fddb8f_152_4" hidden="1">#REF!</definedName>
    <definedName name="TRNR_88acaadd42144252844666b21711bff8_238_3" hidden="1">#REF!</definedName>
    <definedName name="TRNR_88f281078ceb4851a16a3fc791401051_65_3" hidden="1">#REF!</definedName>
    <definedName name="TRNR_890c8b9650184dee96caab0cb519ed7d_141_2" hidden="1">#REF!</definedName>
    <definedName name="TRNR_890f1b9d1b404920960f27ecb734a3b4_46_1" hidden="1">#REF!</definedName>
    <definedName name="TRNR_89114a2e87fe4dc19791ea5e1935b774_761_2" hidden="1">#REF!</definedName>
    <definedName name="TRNR_8920166adc73450c98a3b9b9549cc785_371_3" hidden="1">#REF!</definedName>
    <definedName name="TRNR_8936fed6c1a646758e3113cd67d0fec9_152_4" hidden="1">#REF!</definedName>
    <definedName name="TRNR_893c1281d2c54a5b90e7bec2bd91b122_407_3" hidden="1">#REF!</definedName>
    <definedName name="TRNR_894b4ab9697b43aba6dd6d625e8b8224_51_1" hidden="1">#REF!</definedName>
    <definedName name="TRNR_894d59db96ce4bb5bc4532260ea0f113_16_1" hidden="1">#REF!</definedName>
    <definedName name="TRNR_895951e0a80a460c81498acfb516acc6_108_2" hidden="1">#REF!</definedName>
    <definedName name="TRNR_89646d5f07c14b21bd2443afed198e37_13_1" hidden="1">#REF!</definedName>
    <definedName name="TRNR_8965d9a416354d57af198f3c5322ba17_262_1" hidden="1">#REF!</definedName>
    <definedName name="TRNR_896d2bf3508e43c1a16896eceb0639e3_16_1" hidden="1">#REF!</definedName>
    <definedName name="TRNR_898a32feaf514c1a9a6f31cdb80e49d8_13_1" hidden="1">#REF!</definedName>
    <definedName name="TRNR_898d0c22cbc4443ea10595a55c70c40e_7_1" hidden="1">#REF!</definedName>
    <definedName name="TRNR_89930125f0e444479f62a77f12dfd1c1_419_3" hidden="1">#REF!</definedName>
    <definedName name="TRNR_89a959b009e94a25ba5fb6d0a1d9f428_9_1" hidden="1">#REF!</definedName>
    <definedName name="TRNR_89ad676950814f24ae9480643d0cb735_631_2" hidden="1">#REF!</definedName>
    <definedName name="TRNR_89ae7c3dcbf34aa3b3b7fcba67feba2b_380_3" hidden="1">#REF!</definedName>
    <definedName name="TRNR_89aff7baaee24f8bb5cd866d986c70b2_668_2" hidden="1">#REF!</definedName>
    <definedName name="TRNR_89b25616b6ad47c893636a0c1e43110a_1156_8" hidden="1">#REF!</definedName>
    <definedName name="TRNR_89c64cb15153432684f6f71c50cd7803_4_2" hidden="1">#REF!</definedName>
    <definedName name="TRNR_89caae53e15f41d3822f8a14ae5f224d_80_4" hidden="1">#REF!</definedName>
    <definedName name="TRNR_89e5e47ab760478ab55cc6af914aade1_13_1" hidden="1">#REF!</definedName>
    <definedName name="TRNR_89efe05a8b1f42f8a09f237077907161_662_6" hidden="1">#REF!</definedName>
    <definedName name="TRNR_8a16da538f9048db848edd7387eb9d97_792_2" hidden="1">#REF!</definedName>
    <definedName name="TRNR_8a18a29ac8624af68b9c6422812cf7ae_579_2" hidden="1">#REF!</definedName>
    <definedName name="TRNR_8a1fdaa8cb7a4789913b421eea81f84b_1302_8" hidden="1">#REF!</definedName>
    <definedName name="TRNR_8a23eb8dc14441f5951f9bdf53a06108_25_1" hidden="1">#REF!</definedName>
    <definedName name="TRNR_8a27778c90f54a668790298ad87f25de_74_1" hidden="1">#REF!</definedName>
    <definedName name="TRNR_8a2f35d9a423438687ae30b0fa7ad2d0_9839_2" hidden="1">#REF!</definedName>
    <definedName name="TRNR_8a66ddf02ec242a585d14645bae6ddf8_366_2" hidden="1">#REF!</definedName>
    <definedName name="TRNR_8a8322c711724339a283684e1797ef12_6_1" hidden="1">#REF!</definedName>
    <definedName name="TRNR_8a8655f884984c2ca815064048405fc5_144_4" hidden="1">#REF!</definedName>
    <definedName name="TRNR_8a9010c3358b4fad9813a320a44b2a6d_1060_7" hidden="1">#REF!</definedName>
    <definedName name="TRNR_8a9f0666e78743adb2dbc3ece66d88dc_1328_2" hidden="1">#REF!</definedName>
    <definedName name="TRNR_8aa70b9167914ea79fe75f0d49474f6a_260_1" hidden="1">#REF!</definedName>
    <definedName name="TRNR_8ab048f9f7534b3ca990a421ceea7472_241_1" hidden="1">#REF!</definedName>
    <definedName name="TRNR_8ab2cf572e544290897c53c6aa159878_741_5" hidden="1">#REF!</definedName>
    <definedName name="TRNR_8ab8300d43a24802affe4e8eca1eb7c1_203_13" hidden="1">#REF!</definedName>
    <definedName name="TRNR_8ad43f7d8786484189b52d640a76ac4a_275_2" hidden="1">#REF!</definedName>
    <definedName name="TRNR_8b521e59497c4ff8a1ab8411371fb867_414_3" hidden="1">#REF!</definedName>
    <definedName name="TRNR_8b59ed52d4664d4d8596aa0c02fb742a_568_6" hidden="1">#REF!</definedName>
    <definedName name="TRNR_8b643cea01d94587a64b618e81f0e3a0_53_6" hidden="1">#REF!</definedName>
    <definedName name="TRNR_8b79f6829754497199ef9f131069466e_251_2" hidden="1">#REF!</definedName>
    <definedName name="TRNR_8b8fe38c160f4e41b47e57aede30239e_122_8" hidden="1">#REF!</definedName>
    <definedName name="TRNR_8b99aada9f584e2183e6896ee86c255c_246_4" hidden="1">#REF!</definedName>
    <definedName name="TRNR_8bb13ea5c3404ac8b8219189a78ba2f9_424_1" hidden="1">#REF!</definedName>
    <definedName name="TRNR_8bf35a6757bb426ebf539722b27af00a_16_1" hidden="1">#REF!</definedName>
    <definedName name="TRNR_8c0c5cc30dfe456aa892fdcc1e616d65_560_4" hidden="1">#REF!</definedName>
    <definedName name="TRNR_8c0ffbd91bfe4f98aae8287bf57b669a_334_8" hidden="1">#REF!</definedName>
    <definedName name="TRNR_8c2340447f4c462aa7529ecdfe9085e8_13_1" hidden="1">#REF!</definedName>
    <definedName name="TRNR_8c2370c6ba0d422aa42d34b3416ae5e6_507_1" hidden="1">#REF!</definedName>
    <definedName name="TRNR_8c2734d90036414881bbe1761a136fd4_13_1" hidden="1">#REF!</definedName>
    <definedName name="TRNR_8c35b74abc4d4b53967f3f379a3e0971_16_1" hidden="1">#REF!</definedName>
    <definedName name="TRNR_8c3729dc8f324ce7a9a0675c949f58eb_470_1" hidden="1">#REF!</definedName>
    <definedName name="TRNR_8c3bd010137e4220b5ead001512219ec_418_3" hidden="1">#REF!</definedName>
    <definedName name="TRNR_8c489144022a4edca0d122e4c0b974e6_23_4" hidden="1">#REF!</definedName>
    <definedName name="TRNR_8c49990f1ef54e7ebbbb6f2705778899_241_1" hidden="1">#REF!</definedName>
    <definedName name="TRNR_8c50893ed345416f9c21560afc01b741_23_4" hidden="1">#REF!</definedName>
    <definedName name="TRNR_8c53126c4172485eb20ceb271c6e5ea8_161_4" hidden="1">#REF!</definedName>
    <definedName name="TRNR_8c568a2a099c434f934b99b43217f103_660_5" hidden="1">#REF!</definedName>
    <definedName name="TRNR_8c5fa78eb18d4b7db81fb6eec339202d_45_2" hidden="1">#REF!</definedName>
    <definedName name="TRNR_8c6fc3c832614843b356a6ad097d3ac7_97_1" hidden="1">#REF!</definedName>
    <definedName name="TRNR_8c8729d1e6e04a50b5916737ee38a94b_668_2" hidden="1">#REF!</definedName>
    <definedName name="TRNR_8c87cbf84da74b69ae8011a70d02711c_151_3" hidden="1">#REF!</definedName>
    <definedName name="TRNR_8c8de202915d48dea1d6aea1ff2e4e08_294_5" hidden="1">#REF!</definedName>
    <definedName name="TRNR_8c91d472dbe44e39943fba0431d68b21_242_2" hidden="1">#REF!</definedName>
    <definedName name="TRNR_8c9cbd1c11df4467b5b6d28a9d47c91d_412_3" hidden="1">#REF!</definedName>
    <definedName name="TRNR_8cb13b5fedcd4188b6b1d516cbfec2f7_373_4" hidden="1">#REF!</definedName>
    <definedName name="TRNR_8cbaa6293ee24634a7041d2d2aa6bb74_13_1" hidden="1">#REF!</definedName>
    <definedName name="TRNR_8cbab19d650d4b2f8ec0abbc5c1c2f57_479_1" hidden="1">#REF!</definedName>
    <definedName name="TRNR_8cbd766a95484fef9a565de266ed85d2_16_1" hidden="1">#REF!</definedName>
    <definedName name="TRNR_8cd6e144881a4c268484ff911388ba72_23_4" hidden="1">#REF!</definedName>
    <definedName name="TRNR_8cde47b7ba52459d83f717784d9da9dc_203_13" hidden="1">#REF!</definedName>
    <definedName name="TRNR_8cf8b35c46e643c48fa645aa4e9849c4_94_1" hidden="1">#REF!</definedName>
    <definedName name="TRNR_8d028f0b8fac47ff87f2ae2860d88369_6_1" hidden="1">#REF!</definedName>
    <definedName name="TRNR_8d0b863eb26c4455a5cb83e72ecab4da_311_2" hidden="1">#REF!</definedName>
    <definedName name="TRNR_8d262c4e9b1946c48644903123972f88_1327_2" hidden="1">#REF!</definedName>
    <definedName name="TRNR_8d39b7d393394227bccdd0cff41d4be6_312_3" hidden="1">#REF!</definedName>
    <definedName name="TRNR_8d3e3ade6c1443a89b28f9a111e44e0f_16_1" hidden="1">#REF!</definedName>
    <definedName name="TRNR_8d5095ffc93e4059940215c756934d11_375_4" hidden="1">#REF!</definedName>
    <definedName name="TRNR_8d66d0558e1649408fa33c322454f3ec_13_1" hidden="1">#REF!</definedName>
    <definedName name="TRNR_8d7f559ae4b540a995ad6c0a7a637038_43_5" hidden="1">#REF!</definedName>
    <definedName name="TRNR_8d86876638bc41fa803007cc981b2ac3_208_1" hidden="1">#REF!</definedName>
    <definedName name="TRNR_8dabb292050a4e5c9ceed0569ac40abb_731_2" hidden="1">#REF!</definedName>
    <definedName name="TRNR_8dbc22e4826047739a25ee01a62bd3cd_10_1" hidden="1">#REF!</definedName>
    <definedName name="TRNR_8dbdff98015e49929021a68724f89e04_1_0" hidden="1">#REF!</definedName>
    <definedName name="TRNR_8dcb91fc63f84089b727486062f20d48_455_2" hidden="1">#REF!</definedName>
    <definedName name="TRNR_8dda77ea95884df0a4161c272fa95fe3_16_1" hidden="1">#REF!</definedName>
    <definedName name="TRNR_8deb132fdc66432986919024782c9a5c_404_2" hidden="1">#REF!</definedName>
    <definedName name="TRNR_8df8386dd1534ca3b0e700835df2af9b_376_6" hidden="1">#REF!</definedName>
    <definedName name="TRNR_8e04e79b38e7492d9501cf918092302d_35_1" hidden="1">#REF!</definedName>
    <definedName name="TRNR_8e16c118c55f4b3e96c31ff36efab82e_184_3" hidden="1">#REF!</definedName>
    <definedName name="TRNR_8e1bf06b8cdf40ef9f286769b94562d6_8586_4" hidden="1">#REF!</definedName>
    <definedName name="TRNR_8e290c2671ee47c3941d9331024453e3_35_1" hidden="1">#REF!</definedName>
    <definedName name="TRNR_8e32e14297e448d7831d90e47df1c1e0_193_2" hidden="1">#REF!</definedName>
    <definedName name="TRNR_8e35c53d44af4c2498b92f45fa154d9c_5_0" hidden="1">#REF!</definedName>
    <definedName name="TRNR_8e47bc9fe95942cd9b447cdc4237e5c3_16_1" hidden="1">#REF!</definedName>
    <definedName name="TRNR_8e6a762e3635452d8c018638fb65ad82_150_1" hidden="1">#REF!</definedName>
    <definedName name="TRNR_8e6e3f7c9ff145faa8082ba69dcec5e2_23_4" hidden="1">#REF!</definedName>
    <definedName name="TRNR_8e7aca359dfe403db9d89b51b3907c6e_209_1" hidden="1">#REF!</definedName>
    <definedName name="TRNR_8e9edb710d114204819ab55767885989_304_5" hidden="1">#REF!</definedName>
    <definedName name="TRNR_8ec3075f81064a47ac43a678f5ff8f22_519_4" hidden="1">#REF!</definedName>
    <definedName name="TRNR_8ece6492e5b54e45926d3293ca5412c7_684_7" hidden="1">#REF!</definedName>
    <definedName name="TRNR_8ed4725a845740879087be9b79d7b268_574_2" hidden="1">#REF!</definedName>
    <definedName name="TRNR_8eda889de8d94a83aaf8afc0642bf426_372_3" hidden="1">#REF!</definedName>
    <definedName name="TRNR_8efee38887b149d181726dca40a9a5f5_83_1" hidden="1">#REF!</definedName>
    <definedName name="TRNR_8f171f27a200476dbf51810b1399875d_16_1" hidden="1">#REF!</definedName>
    <definedName name="TRNR_8f1934f492204a99bc22b2def4d307e2_244_4" hidden="1">#REF!</definedName>
    <definedName name="TRNR_8f252f969af7435fa0ec8f0c9f3ba3af_62_2" hidden="1">#REF!</definedName>
    <definedName name="TRNR_8f2c604f84be4097a3d696f22887ac65_870_5" hidden="1">#REF!</definedName>
    <definedName name="TRNR_8f31bbd04ce249ecbe50680a8ff9f5ed_278_2" hidden="1">#REF!</definedName>
    <definedName name="TRNR_8f357b6a3df5415fbef428c175b20d27_260_1" hidden="1">#REF!</definedName>
    <definedName name="TRNR_8f631e40ec374c1a840cfe7d97660318_419_4" hidden="1">#REF!</definedName>
    <definedName name="TRNR_8f871db0c38e4d34849e671645fd7c95_42_2" hidden="1">#REF!</definedName>
    <definedName name="TRNR_8f988bca457044d99eca76cab6bf1e00_149_2" hidden="1">#REF!</definedName>
    <definedName name="TRNR_8f993fe603504d71a0336073cabb628d_282_2" hidden="1">#REF!</definedName>
    <definedName name="TRNR_8fb2625c92d04ecc814c6685b083670a_460_3" hidden="1">#REF!</definedName>
    <definedName name="TRNR_8fb3b279cfa04eaa914ccc820f904c24_538_2" hidden="1">#REF!</definedName>
    <definedName name="TRNR_8fb6a5926fa64fd39aae612a0e50f6de_132_1" hidden="1">#REF!</definedName>
    <definedName name="TRNR_8fcf480d80ba46fba7f58cbc8d4eaef2_442_2" hidden="1">#REF!</definedName>
    <definedName name="TRNR_8fdc747cfae247acafe739ef6e1ccb35_16_1" hidden="1">#REF!</definedName>
    <definedName name="TRNR_8fe0f34ee8594bbfa31f8bbae768f8a1_321_3" hidden="1">#REF!</definedName>
    <definedName name="TRNR_8ff47fd5e4ed4d27a06a37bc1c026223_479_3" hidden="1">#REF!</definedName>
    <definedName name="TRNR_900ec0dc42c449a99230f080dea398db_404_2" hidden="1">#REF!</definedName>
    <definedName name="TRNR_9017ee1bf8ef4599bd60ca4c3fdaae0b_13_1" hidden="1">#REF!</definedName>
    <definedName name="TRNR_90222decfb244e17910fb8ce05f1914d_608_2" hidden="1">#REF!</definedName>
    <definedName name="TRNR_902d585c2cbd424ab863dd356011a08f_194_3" hidden="1">#REF!</definedName>
    <definedName name="TRNR_902f3b155adc461aa269c100ee694cbd_535_2" hidden="1">#REF!</definedName>
    <definedName name="TRNR_903384b9a12842d591cca49f0028a843_525_8" hidden="1">#REF!</definedName>
    <definedName name="TRNR_9038db1c72674619b972a1fff3daf951_122_2" hidden="1">#REF!</definedName>
    <definedName name="TRNR_90479f647c624c1b88688f717e8a3aa8_133_2" hidden="1">#REF!</definedName>
    <definedName name="TRNR_90488da16e304dbf9deac0d7a5ceec64_523_2" hidden="1">#REF!</definedName>
    <definedName name="TRNR_905783c487d745608029086442c065ac_141_2" hidden="1">#REF!</definedName>
    <definedName name="TRNR_9057eed292464b52a2b5fafe6a8c6afd_741_2" hidden="1">#REF!</definedName>
    <definedName name="TRNR_906611d07c834195bafd246ed211e8a5_206_2" hidden="1">#REF!</definedName>
    <definedName name="TRNR_906f406a877c4b03845f3d6c31fcb41c_10_1" hidden="1">#REF!</definedName>
    <definedName name="TRNR_907c6bca3dce4f57be7c4cc35c053546_1086_4" hidden="1">#REF!</definedName>
    <definedName name="TRNR_908eab9f9eef4fa4bd3756a61a289127_806_2" hidden="1">#REF!</definedName>
    <definedName name="TRNR_90955f89f9dc4663b189ef9d0083ee23_316_4" hidden="1">#REF!</definedName>
    <definedName name="TRNR_90989e31c47c4842bcda3dbc4edbf2e7_1946_1" hidden="1">#REF!</definedName>
    <definedName name="TRNR_90bab9024dca49f1ada0b8dd30fc4945_215_2" hidden="1">#REF!</definedName>
    <definedName name="TRNR_90bbe178aee8478690d19e3accf6c765_1236_7" hidden="1">#REF!</definedName>
    <definedName name="TRNR_90be652bce6f496bbad0889091ba7472_6_1" hidden="1">#REF!</definedName>
    <definedName name="TRNR_90c0a2c430204ad39271b6fd4aa13b8c_554_4" hidden="1">#REF!</definedName>
    <definedName name="TRNR_90dfa3e212a44206a88a4de129e5ade1_11_2" hidden="1">#REF!</definedName>
    <definedName name="TRNR_90f8f6ab2da84e98ae17a571961f03fa_93_1" hidden="1">#REF!</definedName>
    <definedName name="TRNR_90fdc0f9db254ffe85c169d94e83fa40_133_2" hidden="1">#REF!</definedName>
    <definedName name="TRNR_9110cef8a39d4276bc9b5efad3a1fe1d_16_1" hidden="1">#REF!</definedName>
    <definedName name="TRNR_911579fa1a17440ba076aa50d0695563_16_1" hidden="1">#REF!</definedName>
    <definedName name="TRNR_913c09f785624d2cad2d1185ce2aac43_133_1" hidden="1">#REF!</definedName>
    <definedName name="TRNR_913ca156a8fb451dba36734541002eed_662_5" hidden="1">#REF!</definedName>
    <definedName name="TRNR_9140bc10b9c34817bbb3584dace85a11_392_3" hidden="1">#REF!</definedName>
    <definedName name="TRNR_914248eed0e94fa3b673a7edb39840e9_455_2" hidden="1">#REF!</definedName>
    <definedName name="TRNR_9169033eb9ed4f199207879bc7e8034f_632_8" hidden="1">#REF!</definedName>
    <definedName name="TRNR_916ae12bf2154466840962002fa4821b_419_3" hidden="1">#REF!</definedName>
    <definedName name="TRNR_917393beb7ef46a9964e30429eee77bb_576_2" hidden="1">#REF!</definedName>
    <definedName name="TRNR_91797d2a7f564be7888f0683777c3c93_9_1" hidden="1">#REF!</definedName>
    <definedName name="TRNR_918c87d8cc634ef7a26626db33c995a8_13_1" hidden="1">#REF!</definedName>
    <definedName name="TRNR_9194b55161494b0f9ee83320e2d7c5b0_566_2" hidden="1">#REF!</definedName>
    <definedName name="TRNR_91a86b923dba477eb1660f3da12a3320_153_4" hidden="1">#REF!</definedName>
    <definedName name="TRNR_91aa27bfec714536aa2c47ea94d1289e_62_2" hidden="1">#REF!</definedName>
    <definedName name="TRNR_91aa69026ab14307b76a55c282b1ddde_549_4" hidden="1">#REF!</definedName>
    <definedName name="TRNR_91adec83776e4d87a39ab8e07677bbab_879_5" hidden="1">#REF!</definedName>
    <definedName name="TRNR_91be0e2481c64783ab860129d79e1af6_132_2" hidden="1">#REF!</definedName>
    <definedName name="TRNR_91c6b33c68e84a85862fee0b64fcbd0c_372_3" hidden="1">#REF!</definedName>
    <definedName name="TRNR_91e26322f28d48838c43b0e3411bdda3_13_1" hidden="1">#REF!</definedName>
    <definedName name="TRNR_91e64c7c5fe34abba8789b9fd944e188_97_2" hidden="1">#REF!</definedName>
    <definedName name="TRNR_91f0bb4de5a742d1a05ccefe8792d4bd_14_1" hidden="1">#REF!</definedName>
    <definedName name="TRNR_91f8d19c112e4bdfbe39c3cabcbea2ee_13_1" hidden="1">#REF!</definedName>
    <definedName name="TRNR_91fbb2b04d7342f79ff8c1cced4c4a46_76_1" hidden="1">#REF!</definedName>
    <definedName name="TRNR_9200dc04d41c4e3795f1db53c10cffef_35_1" hidden="1">#REF!</definedName>
    <definedName name="TRNR_9207ad616cf34227b3ddb4957d751bb6_524_2" hidden="1">#REF!</definedName>
    <definedName name="TRNR_921b36fa328343f9890215cb54209ee4_536_1" hidden="1">#REF!</definedName>
    <definedName name="TRNR_92276c701a634cd0bbfec63e11b79f24_2245_3" hidden="1">#REF!</definedName>
    <definedName name="TRNR_9229cecc02d64737ba632206e8d04bdd_182_2" hidden="1">#REF!</definedName>
    <definedName name="TRNR_922d99fc552b456aaa557a0ae1ff27c9_391_2" hidden="1">#REF!</definedName>
    <definedName name="TRNR_9236d744a9924b7588258d3e0c2c2386_141_1" hidden="1">#REF!</definedName>
    <definedName name="TRNR_92458ca89212425391f46bb5df7e6051_13_1" hidden="1">#REF!</definedName>
    <definedName name="TRNR_92513f21e01c4afb954da91a12d155a1_523_2" hidden="1">#REF!</definedName>
    <definedName name="TRNR_9258d13cd11b447aaca3a71420f5256d_1067_8" hidden="1">#REF!</definedName>
    <definedName name="TRNR_928c6a31c7e646f68d3d235a04ec904a_203_13" hidden="1">#REF!</definedName>
    <definedName name="TRNR_92a6acd050864ab191b4ebbda09db341_7_3" hidden="1">#REF!</definedName>
    <definedName name="TRNR_92af3d3ce6dd4b74948143e27858e473_545_2" hidden="1">#REF!</definedName>
    <definedName name="TRNR_92af582ca21e4179a570c897f6f67e0d_452_4" hidden="1">#REF!</definedName>
    <definedName name="TRNR_92b671e1deb346599acedfd3f74cc407_558_2" hidden="1">#REF!</definedName>
    <definedName name="TRNR_930e31dd98624825a49545bed4f4f289_13_1" hidden="1">#REF!</definedName>
    <definedName name="TRNR_93113c81147446d6b0af27cfcd290d20_9_1" hidden="1">#REF!</definedName>
    <definedName name="TRNR_93122843276145298bdd05df7bf62941_412_3" hidden="1">#REF!</definedName>
    <definedName name="TRNR_9320ab161ed844edbb4a8a3eea7c7e5f_44_7" hidden="1">#REF!</definedName>
    <definedName name="TRNR_93264f38d083441da87575cc60276f84_13_1" hidden="1">#REF!</definedName>
    <definedName name="TRNR_932d38814c424e5cb3aa92c0a870b056_154_3" hidden="1">#REF!</definedName>
    <definedName name="TRNR_933ec8df75df419eb0e90c368ae28425_168_2" hidden="1">#REF!</definedName>
    <definedName name="TRNR_934ba5c52004496790ea0e8bff3adafe_523_2" hidden="1">#REF!</definedName>
    <definedName name="TRNR_93589d13603f44128d3a810e99a534f5_361_2" hidden="1">#REF!</definedName>
    <definedName name="TRNR_93590adcb3ad4414ac1f2026d38f50ff_365_4" hidden="1">#REF!</definedName>
    <definedName name="TRNR_938b62b5cc8a4510ae33dc787f4def2c_600_1" hidden="1">#REF!</definedName>
    <definedName name="TRNR_938c34e09be349bea42e8f09cf79317f_120_1" hidden="1">#REF!</definedName>
    <definedName name="TRNR_939c21403aa34c1ba74cc986b3d8a860_557_2" hidden="1">#REF!</definedName>
    <definedName name="TRNR_93a593b5535e4534ba5c2f1e20cfa692_13_1" hidden="1">#REF!</definedName>
    <definedName name="TRNR_93ac270150aa4e998ba4756e16721e52_419_2" hidden="1">#REF!</definedName>
    <definedName name="TRNR_93b208dea7294681bfcdd6b9c9ff392f_547_2" hidden="1">#REF!</definedName>
    <definedName name="TRNR_93c06494be6a4309acd4178adffe0203_1_4" hidden="1">#REF!</definedName>
    <definedName name="TRNR_93cb418e0b1e4f51a13881cb656d571f_356_4" hidden="1">#REF!</definedName>
    <definedName name="TRNR_93d0c54e60dd4fa4ab54d7f4ee503a2b_42_2" hidden="1">#REF!</definedName>
    <definedName name="TRNR_93da9dc4d94b464e8cb9ffbd9fe7b4e6_556_4" hidden="1">#REF!</definedName>
    <definedName name="TRNR_93dcad03ef7d4bc9853cefecee4075c1_16_1" hidden="1">#REF!</definedName>
    <definedName name="TRNR_93e0e8d4b9e54db59aee4428dc2c9471_579_2" hidden="1">#REF!</definedName>
    <definedName name="TRNR_93e157cd515e4444be0ce2cbafdb4522_16_1" hidden="1">#REF!</definedName>
    <definedName name="TRNR_93f1b056a3f649fabaa6b802273658cf_138_1" hidden="1">#REF!</definedName>
    <definedName name="TRNR_9419e12eb54f4557a1bcc08363f2a26f_40_2" hidden="1">#REF!</definedName>
    <definedName name="TRNR_941a60f4bb4c4178828e377f6078a84d_660_4" hidden="1">#REF!</definedName>
    <definedName name="TRNR_941b38938936421cbe3c56877023a68b_144_4" hidden="1">#REF!</definedName>
    <definedName name="TRNR_942784a6f1584d2b9769b176cb3fe880_9_1" hidden="1">#REF!</definedName>
    <definedName name="TRNR_943ce3b64c9f41b2921ab179f8832435_289_2" hidden="1">#REF!</definedName>
    <definedName name="TRNR_943ff752c8a74d32aa6f66dbc8fc12cb_540_2" hidden="1">#REF!</definedName>
    <definedName name="TRNR_944fcbaa93a94e9cad025ce69fd8b2c7_13_1" hidden="1">#REF!</definedName>
    <definedName name="TRNR_945b21b771f243f2b0961e8c02e94dd6_216_3" hidden="1">#REF!</definedName>
    <definedName name="TRNR_945da23f9cf14dbca9c53569c078aeed_376_3" hidden="1">#REF!</definedName>
    <definedName name="TRNR_94788e237cbc42d79c61a6807a4c7d7a_398_2" hidden="1">#REF!</definedName>
    <definedName name="TRNR_947cfae9d0c342b3b095e3999d1e92c6_263_1" hidden="1">#REF!</definedName>
    <definedName name="TRNR_948c7186bfcb4ca7bd9b04e732ba2b03_347_3" hidden="1">#REF!</definedName>
    <definedName name="TRNR_94a579227d174b0d93e35d9a7576933d_13_1" hidden="1">#REF!</definedName>
    <definedName name="TRNR_94a75a329de74b7a8034380a75418836_16_1" hidden="1">#REF!</definedName>
    <definedName name="TRNR_94a7d421508c4fa595574ca621c0f6f3_35_1" hidden="1">#REF!</definedName>
    <definedName name="TRNR_94b51e6dd11e452ebaa183940a6cba69_538_2" hidden="1">#REF!</definedName>
    <definedName name="TRNR_94b708fdb75d422a90b066f1a17079c1_697_5" hidden="1">#REF!</definedName>
    <definedName name="TRNR_94b89223d976476fb247a51638f8f001_16_1" hidden="1">#REF!</definedName>
    <definedName name="TRNR_94b9a743bfa24f94a5ddedafbe06ee80_829_7" hidden="1">#REF!</definedName>
    <definedName name="TRNR_94be3d86a47845c7ac071241c8ec5eb6_162_1" hidden="1">#REF!</definedName>
    <definedName name="TRNR_94c1201dd5444993aa262c8a2bddf37f_290_2" hidden="1">#REF!</definedName>
    <definedName name="TRNR_94c60c948df44ef1bd45a601769c5184_10_1" hidden="1">#REF!</definedName>
    <definedName name="TRNR_94ec06f9fae442dd8b0771794044d1bc_16_1" hidden="1">#REF!</definedName>
    <definedName name="TRNR_94ecd935c6e84ada89f4240a35d84878_88_3" hidden="1">#REF!</definedName>
    <definedName name="TRNR_94f699dbd70b42b483c170b5b0859cba_139_1" hidden="1">#REF!</definedName>
    <definedName name="TRNR_950cb37b8e9a475aabae0852ae2346e3_390_1" hidden="1">#REF!</definedName>
    <definedName name="TRNR_95132136e87244e5bf63858c04d7f19f_294_5" hidden="1">#REF!</definedName>
    <definedName name="TRNR_951756862599436fb684bc486c1430f2_16_1" hidden="1">#REF!</definedName>
    <definedName name="TRNR_951edfe511d14ab68bcb4bb243d9e203_76_1" hidden="1">#REF!</definedName>
    <definedName name="TRNR_954011acabc34e349ccdf3357599f427_13_1" hidden="1">#REF!</definedName>
    <definedName name="TRNR_954d767def104ac59b911caf0c98654e_132_2" hidden="1">#REF!</definedName>
    <definedName name="TRNR_955f78a101254d9ab66543ad05c8b2f1_10_1" hidden="1">#REF!</definedName>
    <definedName name="TRNR_955fb171fb394a2a89bbc01dbe649a7c_131_1" hidden="1">#REF!</definedName>
    <definedName name="TRNR_956061afb3f64dc0b34698f3bbdec5f0_10_1" hidden="1">#REF!</definedName>
    <definedName name="TRNR_9580fac7bb404b4f951fe707fe3532e0_26_4" hidden="1">#REF!</definedName>
    <definedName name="TRNR_958150b87bde444e8a952c15a62be152_9_1" hidden="1">#REF!</definedName>
    <definedName name="TRNR_958a752819b44189b5625abc9302e6d4_122_5" hidden="1">#REF!</definedName>
    <definedName name="TRNR_9596dcd988ed4315bf20a1733c5106b0_36_2" hidden="1">#REF!</definedName>
    <definedName name="TRNR_959d482b05f045928906dba537bef9f1_726_2" hidden="1">#REF!</definedName>
    <definedName name="TRNR_959fc13f5a4a4b19a7f835cdd5cdc963_1164_3" hidden="1">#REF!</definedName>
    <definedName name="TRNR_95a026d50eb34859a337fe0e08416ee8_124_2" hidden="1">#REF!</definedName>
    <definedName name="TRNR_95aea167febc4958b1ef1f7a02dee291_86_3" hidden="1">#REF!</definedName>
    <definedName name="TRNR_95b03f84671b4da58041c1acbbde27f5_893_5" hidden="1">#REF!</definedName>
    <definedName name="TRNR_95b6e8d4329a47c6b375160b3bd0120a_23_4" hidden="1">#REF!</definedName>
    <definedName name="TRNR_95c1fff5982842b691ed0932810a67d0_375_3" hidden="1">#REF!</definedName>
    <definedName name="TRNR_95d608739e8d48acac72278d3b202f93_393_2" hidden="1">#REF!</definedName>
    <definedName name="TRNR_95e4f94bd5164b059cbf1017eb65e3c3_16_1" hidden="1">#REF!</definedName>
    <definedName name="TRNR_95f8956ebf7147db8ef6a92f4265b38f_627_2" hidden="1">#REF!</definedName>
    <definedName name="TRNR_95fc073e371e467ba23342aaeac53c3c_452_5" hidden="1">#REF!</definedName>
    <definedName name="TRNR_96144e0b4f464110858a963a1563e752_376_3" hidden="1">#REF!</definedName>
    <definedName name="TRNR_9616ede4067b48f0826c9ed344d563f1_10_1" hidden="1">#REF!</definedName>
    <definedName name="TRNR_962cf35095ed4f8fa1d203d5f99aeb8a_520_1" hidden="1">#REF!</definedName>
    <definedName name="TRNR_9635fcde91c54e69a5c5a4a044f38f5e_300_2" hidden="1">#REF!</definedName>
    <definedName name="TRNR_96583c8499b24432af050b9416df3334_483_4" hidden="1">#REF!</definedName>
    <definedName name="TRNR_9663e55dbbb74ad98414518d27e7941b_665_2" hidden="1">#REF!</definedName>
    <definedName name="TRNR_96665c4093ca44c5900784a332b26476_401_2" hidden="1">#REF!</definedName>
    <definedName name="TRNR_9670bdd6677c4d0cb615c3d2d91abd97_806_5" hidden="1">#REF!</definedName>
    <definedName name="TRNR_9672ae96809848d1807a86a688195d9c_16_1" hidden="1">#REF!</definedName>
    <definedName name="TRNR_9673a2c099e54609b8f8beba9779a1d4_474_3" hidden="1">#REF!</definedName>
    <definedName name="TRNR_9680f6a8b3444a818620fd3e652f9e60_45_2" hidden="1">#REF!</definedName>
    <definedName name="TRNR_96848f2ac46d42f2bd7546070887497d_13_1" hidden="1">#REF!</definedName>
    <definedName name="TRNR_96870823cb20422eae6cbb5a6e24e11f_7_1" hidden="1">#REF!</definedName>
    <definedName name="TRNR_9691279ea35e46e68a4e14a66d9e8781_808_7" hidden="1">#REF!</definedName>
    <definedName name="TRNR_96943a143be74fdea0727ce8aabe0f8a_371_2" hidden="1">#REF!</definedName>
    <definedName name="TRNR_96a36ca0dc874cf1a5f57538323c413e_393_2" hidden="1">#REF!</definedName>
    <definedName name="TRNR_96a7cf5ecc794a96b2ac3554178128c3_594_2" hidden="1">#REF!</definedName>
    <definedName name="TRNR_96c2ab220780432b84909b870769d753_3155_2" hidden="1">#REF!</definedName>
    <definedName name="TRNR_96c5bc103644471fbae611e100f9bc51_283_2" hidden="1">#REF!</definedName>
    <definedName name="TRNR_96ca5fe78cb648eca0641f3f66183e83_13_1" hidden="1">#REF!</definedName>
    <definedName name="TRNR_96d1655c8ffe4b32bdb0210eb61fff66_517_5" hidden="1">#REF!</definedName>
    <definedName name="TRNR_97069601bc5445c99f57a92b5db830e1_228_2" hidden="1">#REF!</definedName>
    <definedName name="TRNR_971bc3291fb14ffb9dcc559c05c399f0_241_4" hidden="1">#REF!</definedName>
    <definedName name="TRNR_971c1dbec7484ea8a36f43dfdc2b835f_9_1" hidden="1">#REF!</definedName>
    <definedName name="TRNR_9720dd9761c248918001bbe688ab4de7_42_6" hidden="1">#REF!</definedName>
    <definedName name="TRNR_973ffbacebfa4bd2a3be4001b39f5e2d_13_1" hidden="1">#REF!</definedName>
    <definedName name="TRNR_9742104533fc41df869694f9e88cd7c2_696_8" hidden="1">#REF!</definedName>
    <definedName name="TRNR_97446929309f47e99b493b41cab7bc2e_16_1" hidden="1">#REF!</definedName>
    <definedName name="TRNR_978a59337c2e4712a1779fea12b81c2d_122_3" hidden="1">#REF!</definedName>
    <definedName name="TRNR_97927a604c9145b4bcb286b97f61c212_149_1" hidden="1">#REF!</definedName>
    <definedName name="TRNR_979bb2ca042c4e13998fb7c0c011d1be_313_2" hidden="1">#REF!</definedName>
    <definedName name="TRNR_97af2af471f847f49bbb8cca8d847692_244_2" hidden="1">#REF!</definedName>
    <definedName name="TRNR_97b8e925d8bc4d039ebd8a7a76255778_475_3" hidden="1">#REF!</definedName>
    <definedName name="TRNR_97d6fe253eff4c279ef3abe67b59df77_861_5" hidden="1">#REF!</definedName>
    <definedName name="TRNR_97dd63b893f74f8599b9fd3fe86dc52b_45_6" hidden="1">#REF!</definedName>
    <definedName name="TRNR_97e078d5e4074611bbc91ef0000e1273_16_1" hidden="1">#REF!</definedName>
    <definedName name="TRNR_97f07af6f6124447bf73f597275974e1_16_1" hidden="1">#REF!</definedName>
    <definedName name="TRNR_98019e3f522d4128b06e3b8bb0d561e5_641_5" hidden="1">#REF!</definedName>
    <definedName name="TRNR_98082e3f029a415f8423047e71c57343_671_6" hidden="1">#REF!</definedName>
    <definedName name="TRNR_980cb7cce3cd40a2821b997e69f34e85_16_1" hidden="1">#REF!</definedName>
    <definedName name="TRNR_980d04b8966f4ca68d1706561cc85959_221_3" hidden="1">#REF!</definedName>
    <definedName name="TRNR_98177c199d3246aebb387390c4a5b292_9_1" hidden="1">#REF!</definedName>
    <definedName name="TRNR_983889f0dae14fb6ae5c3bb338c8419a_652_1" hidden="1">#REF!</definedName>
    <definedName name="TRNR_983e24e518fa48179e5fca1f0fe5576a_23_3" hidden="1">#REF!</definedName>
    <definedName name="TRNR_984974ac11f74e95847aa6f08a0e88c9_761_2" hidden="1">#REF!</definedName>
    <definedName name="TRNR_985b099bac7d41869c028e3997bb70d0_226_1" hidden="1">#REF!</definedName>
    <definedName name="TRNR_9860f7b887fd4eca8f2d1d9cfebbbaa2_109_1" hidden="1">#REF!</definedName>
    <definedName name="TRNR_986f3bfc5b144271bcc6a13b9556bb36_329_2" hidden="1">#REF!</definedName>
    <definedName name="TRNR_9872ddafaac64011ac97f9279df3140e_11_2" hidden="1">#REF!</definedName>
    <definedName name="TRNR_9877785e65294f5f98222ad766c917b1_246_3" hidden="1">#REF!</definedName>
    <definedName name="TRNR_987f2aae65ef4fc39d72b93b4d534735_98_1" hidden="1">#REF!</definedName>
    <definedName name="TRNR_989fce1f282f462587f5f3a5260a2540_1999_4" hidden="1">#REF!</definedName>
    <definedName name="TRNR_98b313fd107247bda4da0d51db97ecf5_523_2" hidden="1">#REF!</definedName>
    <definedName name="TRNR_98cc043b9f9b421789ead777013afa1e_403_5" hidden="1">#REF!</definedName>
    <definedName name="TRNR_98d03fc431044bba9977d7b5cd5dc2f2_464_2" hidden="1">#REF!</definedName>
    <definedName name="TRNR_98e46cf2701644ab999b2761ef1ba941_601_2" hidden="1">#REF!</definedName>
    <definedName name="TRNR_98ee84b2d8d64b36bd9f54ba9d25a9e1_10_1" hidden="1">#REF!</definedName>
    <definedName name="TRNR_98f675ae04cc47b695d7af9eea8c692f_828_5" hidden="1">#REF!</definedName>
    <definedName name="TRNR_9906c0be7e7348d1a4e4f73c6c30d90c_479_1" hidden="1">#REF!</definedName>
    <definedName name="TRNR_990f527ace8d45038bb70b037b09348e_398_1" hidden="1">#REF!</definedName>
    <definedName name="TRNR_99445478d9d544eb87553d4f87bb9c86_348_3" hidden="1">#REF!</definedName>
    <definedName name="TRNR_994743352ad5404ab91cd2d43f05acf5_144_4" hidden="1">#REF!</definedName>
    <definedName name="TRNR_9969238f80df4f5abca202dcf7a44f65_26_2" hidden="1">#REF!</definedName>
    <definedName name="TRNR_996c838cdcf748a3a6bf0be1745789ed_31_4" hidden="1">#REF!</definedName>
    <definedName name="TRNR_997bc4d9e24d445fbd14fa41ab463f3a_10_1" hidden="1">#REF!</definedName>
    <definedName name="TRNR_998c401c25664800b59c368e09cef5c1_42_1" hidden="1">#REF!</definedName>
    <definedName name="TRNR_998ec9439ede4af59c9eaff21b0dbf49_50_1" hidden="1">#REF!</definedName>
    <definedName name="TRNR_9992b7c20a344165af14ec7d926cd047_257_3" hidden="1">#REF!</definedName>
    <definedName name="TRNR_999538379f1f40c99f5991713b74390a_16_1" hidden="1">#REF!</definedName>
    <definedName name="TRNR_9995df1266dd45d3aacaba2963851593_1232_8" hidden="1">#REF!</definedName>
    <definedName name="TRNR_999a2371c5464ab1a547a227a230c928_141_2" hidden="1">#REF!</definedName>
    <definedName name="TRNR_999d8d87b6904554b8036934e94c5537_16_1" hidden="1">#REF!</definedName>
    <definedName name="TRNR_999dc26f020d481d95a7f59c3a34022b_9_1" hidden="1">#REF!</definedName>
    <definedName name="TRNR_999ecf877c804064bd42543a172c9cb7_12_2" hidden="1">#REF!</definedName>
    <definedName name="TRNR_99b79a9f4038422ba6e0a25d8306914b_23_3" hidden="1">#REF!</definedName>
    <definedName name="TRNR_99babf12312b4123b2744368d9d8a8bd_305_2" hidden="1">#REF!</definedName>
    <definedName name="TRNR_99c8c18e024944acaf4cde4e85a7c789_384_11" hidden="1">#REF!</definedName>
    <definedName name="TRNR_99d2eb27dd804c35a7fdabfe861fa049_133_2" hidden="1">#REF!</definedName>
    <definedName name="TRNR_99dbc91034764537bc40683d7bc08c5a_492_3" hidden="1">#REF!</definedName>
    <definedName name="TRNR_99fa90041919447f9e1eab2b089770b6_43_5" hidden="1">#REF!</definedName>
    <definedName name="TRNR_99fb97d5a2654e0eb7e6deac59df8022_119_1" hidden="1">#REF!</definedName>
    <definedName name="TRNR_9a0d5a308908426da898a871172158d3_355_3" hidden="1">#REF!</definedName>
    <definedName name="TRNR_9a103663cbd9454c80ee52b66734764d_163_2" hidden="1">#REF!</definedName>
    <definedName name="TRNR_9a1133dc97c6415cbee255c26ab49338_154_2" hidden="1">#REF!</definedName>
    <definedName name="TRNR_9a2484b26de842a6b0fa34b7b3873693_13_1" hidden="1">#REF!</definedName>
    <definedName name="TRNR_9a36a772602e4c0897c94353acc124eb_420_3" hidden="1">#REF!</definedName>
    <definedName name="TRNR_9a3cb165760248e0a305b08de677926b_62_4" hidden="1">#REF!</definedName>
    <definedName name="TRNR_9a4e89d4c3ff44e5b5eb20e7f53e6f3d_543_4" hidden="1">#REF!</definedName>
    <definedName name="TRNR_9a5f97d411e74ef896e5402363e59a13_149_9" hidden="1">#REF!</definedName>
    <definedName name="TRNR_9a62e317193d44b98d311c4f8f90ebea_121_1" hidden="1">#REF!</definedName>
    <definedName name="TRNR_9a70374884ec4eccaa90e26aa08f0e72_26_4" hidden="1">#REF!</definedName>
    <definedName name="TRNR_9a7c543c68e24dfc93a743e1802b8cb1_5_0" hidden="1">#REF!</definedName>
    <definedName name="TRNR_9a8ee044f40b41138eb02b8c566f8da3_209_1" hidden="1">#REF!</definedName>
    <definedName name="TRNR_9a9a483e7b4a491093f1eaed568e2c18_13_1" hidden="1">#REF!</definedName>
    <definedName name="TRNR_9ac6b370cf7841ee8780d186c4ca59f6_149_9" hidden="1">#REF!</definedName>
    <definedName name="TRNR_9ad0f0a9f2934601b3b94fb17aaefeb0_6_1" hidden="1">#REF!</definedName>
    <definedName name="TRNR_9aea8b4fd3d04e1aa8acb8c60de3dc7f_311_2" hidden="1">#REF!</definedName>
    <definedName name="TRNR_9af57575164841c0be28d0aa5e6d9925_93_1" hidden="1">#REF!</definedName>
    <definedName name="TRNR_9afef3184b754fb48d4c07fd2ddb4d97_131_2" hidden="1">#REF!</definedName>
    <definedName name="TRNR_9b07326245d74f3eab4190dbc773d197_16_1" hidden="1">#REF!</definedName>
    <definedName name="TRNR_9b16c49cc0ff4c9a9689fd3c7d77c33f_241_4" hidden="1">#REF!</definedName>
    <definedName name="TRNR_9b24e310fc014e21a15e04ec2b4e746c_133_2" hidden="1">#REF!</definedName>
    <definedName name="TRNR_9b387e0e052d442199e0e5137017b646_196_3" hidden="1">#REF!</definedName>
    <definedName name="TRNR_9b40e1ba1089404cb6c14e47b39fc236_13_1" hidden="1">#REF!</definedName>
    <definedName name="TRNR_9b48f06b936440e19acd00a4ce745b72_131_2" hidden="1">#REF!</definedName>
    <definedName name="TRNR_9b5689db924f4fae866d4db16cd1cfd2_35_1" hidden="1">#REF!</definedName>
    <definedName name="TRNR_9b5b0b8d45814b6da8c861a0c4b256ea_291_2" hidden="1">#REF!</definedName>
    <definedName name="TRNR_9b630c186e96435c86bb9b71fd1ac125_93_1" hidden="1">#REF!</definedName>
    <definedName name="TRNR_9b6e1342263b4b3ebfaf92c5c3512435_285_2" hidden="1">#REF!</definedName>
    <definedName name="TRNR_9b7d1bee81884652889a12b49ffb37f4_376_6" hidden="1">#REF!</definedName>
    <definedName name="TRNR_9b85623852bb458aa31b6a91f14065fb_432_2" hidden="1">#REF!</definedName>
    <definedName name="TRNR_9b98d5e8edfd40c080959e39976c9741_304_2" hidden="1">#REF!</definedName>
    <definedName name="TRNR_9b9f9f94e5ec4888a66bda2c1f1d3fc7_545_3" hidden="1">#REF!</definedName>
    <definedName name="TRNR_9ba810227c014a638a55a996b2c65cee_16_1" hidden="1">#REF!</definedName>
    <definedName name="TRNR_9bb978065bff4881b478757a7f643e03_915_2" hidden="1">#REF!</definedName>
    <definedName name="TRNR_9bcc5e081c4242b9b683bd65cf6ce9a2_105_1" hidden="1">#REF!</definedName>
    <definedName name="TRNR_9be61718ccf948a8a25ade033274e684_7_1" hidden="1">#REF!</definedName>
    <definedName name="TRNR_9bf03465dda64cb896290c9812f7110b_118_1" hidden="1">#REF!</definedName>
    <definedName name="TRNR_9bf08150450f4b20a5ffdfc5eb66860a_122_2" hidden="1">#REF!</definedName>
    <definedName name="TRNR_9bfa2f6028c94de3b46753db07caaf43_399_1" hidden="1">#REF!</definedName>
    <definedName name="TRNR_9c0789407b984f78a153489863bb108e_13_1" hidden="1">#REF!</definedName>
    <definedName name="TRNR_9c0a5a01e80043b7bdfcf126c53ff883_91_1" hidden="1">#REF!</definedName>
    <definedName name="TRNR_9c0c360e784743f6ba9416db6b3d0ee5_540_2" hidden="1">#REF!</definedName>
    <definedName name="TRNR_9c16af9a54cc4a5db0b48ad46420b614_113_3" hidden="1">#REF!</definedName>
    <definedName name="TRNR_9c1e2590611443f3bee9b69f72ec59b1_16_1" hidden="1">#REF!</definedName>
    <definedName name="TRNR_9c3d707e14504e5e8cd4590b8d5fe32d_10_1" hidden="1">#REF!</definedName>
    <definedName name="TRNR_9c4b6119bd0a4e80b3df0b5878b77199_2699_2" hidden="1">#REF!</definedName>
    <definedName name="TRNR_9c4dfd13b2784122ae98e1ccaf98caab_1_1" hidden="1">#REF!</definedName>
    <definedName name="TRNR_9c709e3bd5ef4d4196caed4a72c25afc_23_4" hidden="1">#REF!</definedName>
    <definedName name="TRNR_9c7b31142c1e40aba0b929abd25cd3f1_62_1" hidden="1">#REF!</definedName>
    <definedName name="TRNR_9c845c4948bd423ca1acbb6fc68ff703_413_3" hidden="1">#REF!</definedName>
    <definedName name="TRNR_9c9b1c2218ca43f78f888bc05f852c8e_23_4" hidden="1">#REF!</definedName>
    <definedName name="TRNR_9ca600046f87462d8901498548097ae4_313_3" hidden="1">#REF!</definedName>
    <definedName name="TRNR_9cb342deadb44e8192c6c8775ecb9ce8_16_1" hidden="1">#REF!</definedName>
    <definedName name="TRNR_9cb8ea28d0124875858b2282efa49ddd_61_6" hidden="1">#REF!</definedName>
    <definedName name="TRNR_9cbdf13947bc4b8b9aa3f2e594035100_16_1" hidden="1">#REF!</definedName>
    <definedName name="TRNR_9cbf6a6cd92342dfb3f4d4d4558e0b84_14_1" hidden="1">#REF!</definedName>
    <definedName name="TRNR_9cdcd868dc7c400395577a91aa37c748_455_4" hidden="1">#REF!</definedName>
    <definedName name="TRNR_9ce0875618784986bbe06eb9c9afcc20_306_15" hidden="1">#REF!</definedName>
    <definedName name="TRNR_9d1729387c334107b96add13f3337f55_3_1" hidden="1">#REF!</definedName>
    <definedName name="TRNR_9d2b7cfbea384273a007cced59958718_16_1" hidden="1">#REF!</definedName>
    <definedName name="TRNR_9d2c59770c2049719fdc0cd45bd1f776_154_4" hidden="1">#REF!</definedName>
    <definedName name="TRNR_9d370fbf0bc642628e7e369bc2055c9f_372_4" hidden="1">#REF!</definedName>
    <definedName name="TRNR_9d396bf41e9a4dcc99102ca66efe4e0f_275_2" hidden="1">#REF!</definedName>
    <definedName name="TRNR_9d7e0338b2bf48adbc966f5efb51fdad_24_2" hidden="1">#REF!</definedName>
    <definedName name="TRNR_9d88f0c29e5644068bb3b4c05c54def0_244_4" hidden="1">#REF!</definedName>
    <definedName name="TRNR_9d8b4f7c667c441ca7362426d5a3bdd0_318_4" hidden="1">#REF!</definedName>
    <definedName name="TRNR_9da97fe11abd4e6785f19891546ac820_275_2" hidden="1">#REF!</definedName>
    <definedName name="TRNR_9db5075aa9a7427cbf6d96f079096504_13_1" hidden="1">#REF!</definedName>
    <definedName name="TRNR_9dd1dfd17f9740098ccfc8581c382266_10_1" hidden="1">#REF!</definedName>
    <definedName name="TRNR_9de6c497e01f44239799d52480fe98a1_13_1" hidden="1">#REF!</definedName>
    <definedName name="TRNR_9de7ee5438b84c58810cc7ef004db2e8_3632_2" hidden="1">#REF!</definedName>
    <definedName name="TRNR_9df1d8aff4354d00a098dd42ba6c3772_11_3" hidden="1">#REF!</definedName>
    <definedName name="TRNR_9dfb379a93b847f5a8fc140b755ffcdb_16_1" hidden="1">#REF!</definedName>
    <definedName name="TRNR_9dfb87f7ab6f4d2482413cebbd0c8432_42_7" hidden="1">#REF!</definedName>
    <definedName name="TRNR_9e102cc0214d4cbab7e46f3d275ba4e4_2675_1" hidden="1">#REF!</definedName>
    <definedName name="TRNR_9e16aff7dbbd4982ab492ae13c20c58e_311_2" hidden="1">#REF!</definedName>
    <definedName name="TRNR_9e277de63497431994858144d0dbb10e_419_3" hidden="1">#REF!</definedName>
    <definedName name="TRNR_9e53e61b26e54873a5afddcd079b374a_76_7" hidden="1">#REF!</definedName>
    <definedName name="TRNR_9e61eb6d6c5140049b1bdb609eb50fb5_294_5" hidden="1">#REF!</definedName>
    <definedName name="TRNR_9e79a8c3a6444031a95f2732418f095e_401_3" hidden="1">#REF!</definedName>
    <definedName name="TRNR_9e7b44360be8481e8101498e135d24de_122_2" hidden="1">#REF!</definedName>
    <definedName name="TRNR_9e7fdaa31f8d4ecfad09b6255e067451_719_5" hidden="1">#REF!</definedName>
    <definedName name="TRNR_9e878ea13f5d4f0a9fc499b5716a5232_364_3" hidden="1">#REF!</definedName>
    <definedName name="TRNR_9e8a05db0c25497590ef4725bb50c45b_7_1" hidden="1">#REF!</definedName>
    <definedName name="TRNR_9e90b65b581046a79aea04cc056c72ea_9_1" hidden="1">#REF!</definedName>
    <definedName name="TRNR_9e90e8a2c62f49b7a00ff765cb0e64a0_291_3" hidden="1">#REF!</definedName>
    <definedName name="TRNR_9e9d70ccc8884af9895da6101c3eb8e7_16_1" hidden="1">#REF!</definedName>
    <definedName name="TRNR_9ea0ae80a1874ce692ff55e6a5e7cf59_278_2" hidden="1">#REF!</definedName>
    <definedName name="TRNR_9ea8e357129d4f0585e85ea9adbd6c91_996_8" hidden="1">#REF!</definedName>
    <definedName name="TRNR_9eabad8019d1492fa102852dfb7c2159_487_2" hidden="1">#REF!</definedName>
    <definedName name="TRNR_9eb02c8b813f4ba6a8900d36ebe160a4_180_3" hidden="1">#REF!</definedName>
    <definedName name="TRNR_9eb3d9ff93204afcb7dad4da11938e44_882_5" hidden="1">#REF!</definedName>
    <definedName name="TRNR_9eba2ff9a8e245398c4ca391c335e4a4_154_4" hidden="1">#REF!</definedName>
    <definedName name="TRNR_9ec6fb582eb342a69dc19e156aa7be58_956_7" hidden="1">#REF!</definedName>
    <definedName name="TRNR_9ed1ae6d4dd94b689fe139e4f6d6d42a_1090_5" hidden="1">#REF!</definedName>
    <definedName name="TRNR_9eda75e8bc2542edb2f03c071433feaa_490_3" hidden="1">#REF!</definedName>
    <definedName name="TRNR_9ee98b3943f04ba48de64f83ab265ad0_433_3" hidden="1">#REF!</definedName>
    <definedName name="TRNR_9ef6a45130584faba92419d9da5316c7_627_1" hidden="1">#REF!</definedName>
    <definedName name="TRNR_9f10c2b5aa3e422cad4e4c0301d2b28d_44_3" hidden="1">#REF!</definedName>
    <definedName name="TRNR_9f375e11e4934db7a1090bc9733eb472_203_2" hidden="1">#REF!</definedName>
    <definedName name="TRNR_9f477260cd65415f9f194c3dc32371fe_35_2" hidden="1">#REF!</definedName>
    <definedName name="TRNR_9f4b4dda2ad340beb8ed1c26df240e9e_13_1" hidden="1">#REF!</definedName>
    <definedName name="TRNR_9f545bdf2ea349bbb54b5ee081194354_402_2" hidden="1">#REF!</definedName>
    <definedName name="TRNR_9f6a712e15374620bb66aded6efb1bff_853_7" hidden="1">#REF!</definedName>
    <definedName name="TRNR_9fa43702e6b640bab35d0165f8f86706_9_1" hidden="1">#REF!</definedName>
    <definedName name="TRNR_9faeeafe81a94df1b8c9822af8587937_16_1" hidden="1">#REF!</definedName>
    <definedName name="TRNR_9fb08bb19a8842958a697fc7595ebb07_548_4" hidden="1">#REF!</definedName>
    <definedName name="TRNR_9fb4f3cc87144e7591d5fec7d2db48fd_578_2" hidden="1">#REF!</definedName>
    <definedName name="TRNR_9fb6d9d0d7c5448a84b1bea136e128bb_651_2" hidden="1">#REF!</definedName>
    <definedName name="TRNR_9fc3489b82744eb68424c412a52ddaac_289_2" hidden="1">#REF!</definedName>
    <definedName name="TRNR_9fc45b75f462421795c2a9bbd009d7ce_275_2" hidden="1">#REF!</definedName>
    <definedName name="TRNR_9fdaa1d0f4be4b5a998ddcb377fcb7e0_138_1" hidden="1">#REF!</definedName>
    <definedName name="TRNR_a013a1d962bf4e1b8a30b663ab57e109_275_2" hidden="1">#REF!</definedName>
    <definedName name="TRNR_a0335458c1f9432fb44da7efb4b4733b_168_4" hidden="1">#REF!</definedName>
    <definedName name="TRNR_a04fd476e65444868ddd90203b56a3d1_361_1" hidden="1">#REF!</definedName>
    <definedName name="TRNR_a05686751b734c8b8e5b5c2e316f0f6b_176_1" hidden="1">#REF!</definedName>
    <definedName name="TRNR_a0724f3e46f541cd922682209f756957_153_2" hidden="1">#REF!</definedName>
    <definedName name="TRNR_a0743ab956d4426f8970eb96ab4c5cb9_393_3" hidden="1">#REF!</definedName>
    <definedName name="TRNR_a0797a48b74e45aeada35d64b55c80b9_477_2" hidden="1">#REF!</definedName>
    <definedName name="TRNR_a07cbc34e5494f50a43542cd8b1ef709_16_1" hidden="1">#REF!</definedName>
    <definedName name="TRNR_a08819b6325a4320b691ff5ac6d44820_7_1" hidden="1">#REF!</definedName>
    <definedName name="TRNR_a08ce1a25d3e4c52ac9ba3f3a9c2d5e7_13_1" hidden="1">#REF!</definedName>
    <definedName name="TRNR_a095fb188d6244b394898ad4aed2a96b_35_1" hidden="1">#REF!</definedName>
    <definedName name="TRNR_a0acf6f663e74d67bdce99834cd30979_62_8" hidden="1">#REF!</definedName>
    <definedName name="TRNR_a0b628d074854496a09fd83328dd838b_7_1" hidden="1">#REF!</definedName>
    <definedName name="TRNR_a0db6995ac8749849f40cbbba3a07a1b_241_3" hidden="1">#REF!</definedName>
    <definedName name="TRNR_a0e6209acbb0460ab56517fbf9041b03_149_9" hidden="1">#REF!</definedName>
    <definedName name="TRNR_a10fc662f3734db1a9d7766e5fbb0b1d_8_1" hidden="1">#REF!</definedName>
    <definedName name="TRNR_a110e1446e6740b88e2f2277ee8589db_34_2" hidden="1">#REF!</definedName>
    <definedName name="TRNR_a122e0ca2ccb43d596b8405f08e62f10_5_3" hidden="1">#REF!</definedName>
    <definedName name="TRNR_a1299d7f431c45c389e0b47ce8db62db_240_1" hidden="1">#REF!</definedName>
    <definedName name="TRNR_a132853ded1841c7871e9bcbd98aca4f_534_2" hidden="1">#REF!</definedName>
    <definedName name="TRNR_a1359821128d4f57ac7ff5baf5603ae5_10_1" hidden="1">#REF!</definedName>
    <definedName name="TRNR_a136fccbe3624472bcc2c4ffe5151786_232_3" hidden="1">#REF!</definedName>
    <definedName name="TRNR_a13c2bcfa62a48d6aeb77b57843bf9d7_157_2" hidden="1">#REF!</definedName>
    <definedName name="TRNR_a14d467a3fe24a6b9b09c4efe968e57a_9_1" hidden="1">#REF!</definedName>
    <definedName name="TRNR_a14d921090a1439d80561be61ab97286_627_2" hidden="1">#REF!</definedName>
    <definedName name="TRNR_a1665af7a57c404eba15d5ddab53c3eb_611_8" hidden="1">#REF!</definedName>
    <definedName name="TRNR_a18859a763874633a221ee8684be0eeb_122_8" hidden="1">#REF!</definedName>
    <definedName name="TRNR_a18ce28a2f624ff9821f984c64fd2e5c_756_2" hidden="1">#REF!</definedName>
    <definedName name="TRNR_a19875bbee28452cae2f75f0ac86b01b_45_3" hidden="1">#REF!</definedName>
    <definedName name="TRNR_a1a1c775e7a44bbea7818df29bfedf00_311_2" hidden="1">#REF!</definedName>
    <definedName name="TRNR_a1b74414dca34e318f0d78190f3d9755_133_2" hidden="1">#REF!</definedName>
    <definedName name="TRNR_a1ceeb04d6224ff4b560dd1d3f094a35_544_2" hidden="1">#REF!</definedName>
    <definedName name="TRNR_a1d5021593224fadae984172ea189aa3_241_3" hidden="1">#REF!</definedName>
    <definedName name="TRNR_a1d5edaa63094511b95ba5aa6a952100_530_2" hidden="1">#REF!</definedName>
    <definedName name="TRNR_a1e4f0ae0aca4626a1feb80ba7a3c986_541_4" hidden="1">#REF!</definedName>
    <definedName name="TRNR_a1f642514bc94f55b2046c207b273fa6_300_3" hidden="1">#REF!</definedName>
    <definedName name="TRNR_a2011f2b826c493fafa65c9b59bf91ba_231_2" hidden="1">#REF!</definedName>
    <definedName name="TRNR_a20239053d4f43d6838ac9d533a90b62_313_4" hidden="1">#REF!</definedName>
    <definedName name="TRNR_a2043e841bcf421885d52766937c5adc_552_4" hidden="1">#REF!</definedName>
    <definedName name="TRNR_a2168d74b5ba49a995a5cf1bd3740a5d_1_4" hidden="1">#REF!</definedName>
    <definedName name="TRNR_a21d56e044f24834b6dfd297e48ede91_10_1" hidden="1">#REF!</definedName>
    <definedName name="TRNR_a22a646380f04ebaa05972470b9ca0d1_241_2" hidden="1">#REF!</definedName>
    <definedName name="TRNR_a247b32cd3484aa09f3a461ab0934d14_209_1" hidden="1">#REF!</definedName>
    <definedName name="TRNR_a25a4aa0fcf445a5ad8ccd7b52c3bf6a_786_8" hidden="1">#REF!</definedName>
    <definedName name="TRNR_a266f2c9853d437982b0cd89be40b71c_294_5" hidden="1">#REF!</definedName>
    <definedName name="TRNR_a29388a8cf3e4b90a52f296575d3e039_118_2" hidden="1">#REF!</definedName>
    <definedName name="TRNR_a2a5223b9ec5466e91e591f6076789e1_532_1" hidden="1">#REF!</definedName>
    <definedName name="TRNR_a2cfd66c6fae47c699bd3bd480726985_419_2" hidden="1">#REF!</definedName>
    <definedName name="TRNR_a2d3de2c2fe9428e93ca596273703996_721_2" hidden="1">#REF!</definedName>
    <definedName name="TRNR_a2d9d8d8a9aa4d60bd9706a153478515_512_4" hidden="1">#REF!</definedName>
    <definedName name="TRNR_a2dd246ad3644faf8fcf98f7f2347826_118_1" hidden="1">#REF!</definedName>
    <definedName name="TRNR_a2e9c7a7246746f38ce0e89de0d0395b_133_1" hidden="1">#REF!</definedName>
    <definedName name="TRNR_a2f37c07367746579e320c25c7c6e429_786_2" hidden="1">#REF!</definedName>
    <definedName name="TRNR_a302afdeac8d48218b64cf569ebea43c_162_1" hidden="1">#REF!</definedName>
    <definedName name="TRNR_a3124465505844c383b800a4ed910263_1_1" hidden="1">#REF!</definedName>
    <definedName name="TRNR_a313e0b2c3e2411bb02197a303f158ef_536_3" hidden="1">#REF!</definedName>
    <definedName name="TRNR_a337f378f0d141e589630bfd2012e36f_33_4" hidden="1">#REF!</definedName>
    <definedName name="TRNR_a347ead4c40647df83dfadf13bfbf27a_470_4" hidden="1">#REF!</definedName>
    <definedName name="TRNR_a355ca69027449469f2f91cd28ecd13c_88_2" hidden="1">#REF!</definedName>
    <definedName name="TRNR_a36c73a007dc404390fbefaa01f3e148_419_3" hidden="1">#REF!</definedName>
    <definedName name="TRNR_a371be6b58e9474192c74ebe6bc80bdd_299_4" hidden="1">#REF!</definedName>
    <definedName name="TRNR_a381d95a7afb45ce848058896da9372c_236_2" hidden="1">#REF!</definedName>
    <definedName name="TRNR_a391bbf29a3e44128eb7e3acc7977cde_8_5" hidden="1">#REF!</definedName>
    <definedName name="TRNR_a3b1590031b546f595e04bfe5ba82290_9_1" hidden="1">#REF!</definedName>
    <definedName name="TRNR_a3ba5352a8b148dda7b99501f76985f1_8_1" hidden="1">#REF!</definedName>
    <definedName name="TRNR_a3d75798417c44138d34037dc8417f1c_16_1" hidden="1">#REF!</definedName>
    <definedName name="TRNR_a3f8f84b5a4f41d8b56f80bca005a732_148_2" hidden="1">#REF!</definedName>
    <definedName name="TRNR_a3fe0a1e3d924a06a99be7fefe1bbad7_141_2" hidden="1">#REF!</definedName>
    <definedName name="TRNR_a40625a2fd94496a9d4e537befc5cb9f_10_1" hidden="1">#REF!</definedName>
    <definedName name="TRNR_a42c73bec2e54247a37a59b69fd8c65d_130_3" hidden="1">#REF!</definedName>
    <definedName name="TRNR_a43af14c8d7d4450b75f26a35f0117fc_10_1" hidden="1">#REF!</definedName>
    <definedName name="TRNR_a466c9d8d1a44d2a8e4425a5d01223c1_374_3" hidden="1">#REF!</definedName>
    <definedName name="TRNR_a47cf408f44847e693204f660de4e553_531_2" hidden="1">#REF!</definedName>
    <definedName name="TRNR_a4971479dbb447d78183a9bbe05fe8f8_294_5" hidden="1">#REF!</definedName>
    <definedName name="TRNR_a49e0626426b40ae903b450d8e9087aa_389_4" hidden="1">#REF!</definedName>
    <definedName name="TRNR_a4a22396b2e848c9a6058c008bb45a36_150_1" hidden="1">#REF!</definedName>
    <definedName name="TRNR_a4b45aacef2141388fc5aa53cc9d6ef2_35_1" hidden="1">#REF!</definedName>
    <definedName name="TRNR_a4b60c06462f40a1bbfdbc2353d38117_731_2" hidden="1">#REF!</definedName>
    <definedName name="TRNR_a4b77f287b4548a89f036f0348ccdb8c_353_4" hidden="1">#REF!</definedName>
    <definedName name="TRNR_a4bd353fded947a0ab6dc5ed5a4ef2b8_283_8" hidden="1">#REF!</definedName>
    <definedName name="TRNR_a4d7d06985a14e8d8d51f8bd796fb533_2_1" hidden="1">#REF!</definedName>
    <definedName name="TRNR_a4dbe4fac97d42a0b2029c8614a6ee82_236_3" hidden="1">#REF!</definedName>
    <definedName name="TRNR_a4e36726d46041a798f9bd22ba12e30f_333_2" hidden="1">#REF!</definedName>
    <definedName name="TRNR_a4f0560834984cbf96c93eb0c882eab2_118_2" hidden="1">#REF!</definedName>
    <definedName name="TRNR_a506db264edd43618847c37322661018_591_1" hidden="1">#REF!</definedName>
    <definedName name="TRNR_a52cf069f2bc454b8e22197781b18439_660_4" hidden="1">#REF!</definedName>
    <definedName name="TRNR_a545866438e54e46a60fc68735597570_381_3" hidden="1">#REF!</definedName>
    <definedName name="TRNR_a5468dc15df34fc4bc21ff4df21d53f8_181_2" hidden="1">#REF!</definedName>
    <definedName name="TRNR_a555e7025c5a453bb6a91c881fac0d75_154_4" hidden="1">#REF!</definedName>
    <definedName name="TRNR_a561f1efb6c746e299ab64307c5cbb32_1_2" hidden="1">#REF!</definedName>
    <definedName name="TRNR_a570b60beeda488ebb0fb04dc52da52a_11_4" hidden="1">#REF!</definedName>
    <definedName name="TRNR_a58c7b5826de4623992ac5bb2ade4289_16_1" hidden="1">#REF!</definedName>
    <definedName name="TRNR_a598b45a77e44063bc4d2f21acd77d5d_153_4" hidden="1">#REF!</definedName>
    <definedName name="TRNR_a5a4e7854a4448a8a495219eb6ae1308_479_4" hidden="1">#REF!</definedName>
    <definedName name="TRNR_a5a57018182d4aa8afdfd9ba28afee94_477_3" hidden="1">#REF!</definedName>
    <definedName name="TRNR_a5a943e0c35a468b9b4803bce40487d4_23_3" hidden="1">#REF!</definedName>
    <definedName name="TRNR_a5ac7136a04d45b196917fd2b4b95694_452_5" hidden="1">#REF!</definedName>
    <definedName name="TRNR_a5af016501054577b275db1d1b1177aa_544_2" hidden="1">#REF!</definedName>
    <definedName name="TRNR_a5b5c7ab3d944a0fb456814491412d84_524_1" hidden="1">#REF!</definedName>
    <definedName name="TRNR_a5c58b46895b4bcbb4adaa62a162388b_11_12" hidden="1">#REF!</definedName>
    <definedName name="TRNR_a5cff8c1e4384063ab74047697386ad2_133_1" hidden="1">#REF!</definedName>
    <definedName name="TRNR_a5d3e60bfa9744ee959fbea0c3db77bc_1067_8" hidden="1">#REF!</definedName>
    <definedName name="TRNR_a5d46b1ee99645a39dec0f912b29ad45_311_2" hidden="1">#REF!</definedName>
    <definedName name="TRNR_a60188db3d9844429dee712780036fe4_5220_2" hidden="1">#REF!</definedName>
    <definedName name="TRNR_a60863a2534947878220f0967085286f_176_1" hidden="1">#REF!</definedName>
    <definedName name="TRNR_a608e35e2c444ba1930c7e6775fb715e_94_2" hidden="1">#REF!</definedName>
    <definedName name="TRNR_a6247f9513ea4e8695aa0ef49ab942de_379_3" hidden="1">#REF!</definedName>
    <definedName name="TRNR_a629ae7713b348da80699ced9aaa4144_808_5" hidden="1">#REF!</definedName>
    <definedName name="TRNR_a62cfdf1d2ec43b48297bd1c05ba65ae_337_3" hidden="1">#REF!</definedName>
    <definedName name="TRNR_a634a5d77724429db85a21a8e1024b6a_5_0" hidden="1">#REF!</definedName>
    <definedName name="TRNR_a63e45cfd7cb4e3d829369219f3fcdf5_321_2" hidden="1">#REF!</definedName>
    <definedName name="TRNR_a647a925d6544b00b3084d7d6289313b_35_2" hidden="1">#REF!</definedName>
    <definedName name="TRNR_a659ab03da744f6bb736769c164ed73d_553_2" hidden="1">#REF!</definedName>
    <definedName name="TRNR_a65fad8e532447528413d84718ab752f_144_4" hidden="1">#REF!</definedName>
    <definedName name="TRNR_a66347ae5ced498d80a3e0c1ae4b6a77_522_2" hidden="1">#REF!</definedName>
    <definedName name="TRNR_a6986c68aa644eac90a53009e2a667c6_76_1" hidden="1">#REF!</definedName>
    <definedName name="TRNR_a69b8f978bb5488196f36ea2da00f729_2801_2" hidden="1">#REF!</definedName>
    <definedName name="TRNR_a6a07f8b880f4a9994669bc7d41a1fb5_518_5" hidden="1">#REF!</definedName>
    <definedName name="TRNR_a6a3096287574904b672693d6c1453cf_89_3" hidden="1">#REF!</definedName>
    <definedName name="TRNR_a6debba3fccd48cfbcbcdd8e3bc0c028_360_1" hidden="1">#REF!</definedName>
    <definedName name="TRNR_a70099b005be4796837be87f239da73b_13_1" hidden="1">#REF!</definedName>
    <definedName name="TRNR_a704efd242f14e79bfe45ae4527ea5e8_13_1" hidden="1">#REF!</definedName>
    <definedName name="TRNR_a72413505ea9490d88d2f84defda9df0_10_1" hidden="1">#REF!</definedName>
    <definedName name="TRNR_a740744d5bef4985b695acc6571f59bb_587_1" hidden="1">#REF!</definedName>
    <definedName name="TRNR_a7528f8025f24a1bae665a9b62485687_385_2" hidden="1">#REF!</definedName>
    <definedName name="TRNR_a7591579b2e34ba69941de5172b60a7c_144_4" hidden="1">#REF!</definedName>
    <definedName name="TRNR_a76ca0469d694a848dc9b1a17c817518_13_1" hidden="1">#REF!</definedName>
    <definedName name="TRNR_a772e48171084b9ba0b1a7cc4f5e682e_113_1" hidden="1">#REF!</definedName>
    <definedName name="TRNR_a78253c2c8d34d60afe4e8914eb40090_568_7" hidden="1">#REF!</definedName>
    <definedName name="TRNR_a7841c3131494f9d9ecba77827ca14c6_567_2" hidden="1">#REF!</definedName>
    <definedName name="TRNR_a7a4f546206c4ad6974958a89ef3b7c5_16_1" hidden="1">#REF!</definedName>
    <definedName name="TRNR_a7aa7f7069a94f709a44a3ac958c0ddc_119_2" hidden="1">#REF!</definedName>
    <definedName name="TRNR_a7aeca8b7fb84620aa8259c8a1e5bff7_69_1" hidden="1">#REF!</definedName>
    <definedName name="TRNR_a7b5dc8deaec45768b04b6787c64ab97_556_2" hidden="1">#REF!</definedName>
    <definedName name="TRNR_a7b6fca1cfc4450d844881d1f2e241ce_329_3" hidden="1">#REF!</definedName>
    <definedName name="TRNR_a7bf88555f3842408f061912095037d7_384_11" hidden="1">#REF!</definedName>
    <definedName name="TRNR_a7cc223c414c480ab95b9f88344751eb_3324_2" hidden="1">#REF!</definedName>
    <definedName name="TRNR_a7f751f62f53425da90d5ad5fa91cece_16_1" hidden="1">#REF!</definedName>
    <definedName name="TRNR_a8003dd5ff2d46cabe05074f9663b68c_372_3" hidden="1">#REF!</definedName>
    <definedName name="TRNR_a80275aaf0bf4b158a34bd52840e6eb3_12_1" hidden="1">#REF!</definedName>
    <definedName name="TRNR_a8036a57eb2743d8be4de96acbf3b7b4_321_4" hidden="1">#REF!</definedName>
    <definedName name="TRNR_a861498eb0024308ac27b442c6ed2078_16_1" hidden="1">#REF!</definedName>
    <definedName name="TRNR_a86201b0a9074072baa2a34857a0f4f5_16_1" hidden="1">#REF!</definedName>
    <definedName name="TRNR_a863a5e1299145c09bc5b99e4b868b83_25_3" hidden="1">#REF!</definedName>
    <definedName name="TRNR_a8989542fd1348488fb7e67032e68e75_365_3" hidden="1">#REF!</definedName>
    <definedName name="TRNR_a8a02db79ac54e76bddcc6095fc38916_853_6" hidden="1">#REF!</definedName>
    <definedName name="TRNR_a8a871610e6646408dc6fde528dee20a_1108_7" hidden="1">#REF!</definedName>
    <definedName name="TRNR_a8bda8974dc04e919bf9c3ab7b2618ee_23_4" hidden="1">#REF!</definedName>
    <definedName name="TRNR_a8cdaabd91664fa8a94feb1ff335f5d2_407_4" hidden="1">#REF!</definedName>
    <definedName name="TRNR_a8d5d22ad3dc46eaa4878978e654fe55_10_1" hidden="1">#REF!</definedName>
    <definedName name="TRNR_a8df7b5f1ddf425d872341ff46e6f835_349_3" hidden="1">#REF!</definedName>
    <definedName name="TRNR_a8e44b1125bc4f40b0da4e1a01ca570f_10_1" hidden="1">#REF!</definedName>
    <definedName name="TRNR_a8f30b1cf2424c5bbe0e1f55a34e7e67_10_1" hidden="1">#REF!</definedName>
    <definedName name="TRNR_a8f7ae19e56247b18aeca60070a3c82c_13_1" hidden="1">#REF!</definedName>
    <definedName name="TRNR_a913a05cb32d478e88db398ef05ccfdb_150_3" hidden="1">#REF!</definedName>
    <definedName name="TRNR_a91de876b9274576afba12d79cdc37e4_334_2" hidden="1">#REF!</definedName>
    <definedName name="TRNR_a9425907190747c883eaba1ca2ef1de3_528_1" hidden="1">#REF!</definedName>
    <definedName name="TRNR_a945802697364b589fa0eec205cf558e_124_2" hidden="1">#REF!</definedName>
    <definedName name="TRNR_a94da0d928b04bd0809d9498b30698e7_283_2" hidden="1">#REF!</definedName>
    <definedName name="TRNR_a94fb94f9478422a9e17bc0fec3b0915_240_3" hidden="1">#REF!</definedName>
    <definedName name="TRNR_a953cf99696248149a5640ca168ab358_13_1" hidden="1">#REF!</definedName>
    <definedName name="TRNR_a9688d2da92c4e8584e0847796d19c25_565_4" hidden="1">#REF!</definedName>
    <definedName name="TRNR_a97380bbe701408293d2cd0f77f5ba43_275_2" hidden="1">#REF!</definedName>
    <definedName name="TRNR_a9934149b5814247a543137ed41c23f3_1327_2" hidden="1">#REF!</definedName>
    <definedName name="TRNR_a994b4f32b8b4f899d257e638071e984_891_2" hidden="1">#REF!</definedName>
    <definedName name="TRNR_a996bcc836654cdca26be0dbe7b02b11_16_1" hidden="1">#REF!</definedName>
    <definedName name="TRNR_a99dbecf94714bf9924d5aa2821b79ae_143_2" hidden="1">#REF!</definedName>
    <definedName name="TRNR_a9ba1380643043b3bbfcd2a3127fc8fb_420_4" hidden="1">#REF!</definedName>
    <definedName name="TRNR_a9bd3a0a58cd4b2989400a6b9f442bf8_485_4" hidden="1">#REF!</definedName>
    <definedName name="TRNR_a9e0f0da98404320b3076e884aabc16e_91_1" hidden="1">#REF!</definedName>
    <definedName name="TRNR_aa03d490477f465c8de54131f23331a6_540_2" hidden="1">#REF!</definedName>
    <definedName name="TRNR_aa44629ad0b640a9a71ba2a02c89718b_538_3" hidden="1">#REF!</definedName>
    <definedName name="TRNR_aa4b3baeea5c4893808f093e2806ed29_119_1" hidden="1">#REF!</definedName>
    <definedName name="TRNR_aa50d02f058b4cc0b8caee32d871f5c8_455_2" hidden="1">#REF!</definedName>
    <definedName name="TRNR_aa58c79c6a1649ecacdc2a124a984135_13_1" hidden="1">#REF!</definedName>
    <definedName name="TRNR_aa614ffe95124fafa7a6cb4147ef3904_2861_1" hidden="1">#REF!</definedName>
    <definedName name="TRNR_aa64044197c74d62ac0067fb79c78ed7_133_2" hidden="1">#REF!</definedName>
    <definedName name="TRNR_aa9890d63bec409ba87aeda49be6feaf_23_3" hidden="1">#REF!</definedName>
    <definedName name="TRNR_aac07ce906e044f88d71e3a6862ec622_538_3" hidden="1">#REF!</definedName>
    <definedName name="TRNR_aac2ab09d7ff48e2ae25312c7629adc8_876_5" hidden="1">#REF!</definedName>
    <definedName name="TRNR_aac37e2154df4d55a0293b026c33aeda_1588_3" hidden="1">#REF!</definedName>
    <definedName name="TRNR_aac4708ce2324f62809805270fed9335_10_1" hidden="1">#REF!</definedName>
    <definedName name="TRNR_aac50b96f63c47eaaf582bde8d7c3d89_33_4" hidden="1">#REF!</definedName>
    <definedName name="TRNR_aacd9c83067541389f48b545213132e0_6114_1" hidden="1">#REF!</definedName>
    <definedName name="TRNR_aaecda9384864a5596e245d830bd8445_455_2" hidden="1">#REF!</definedName>
    <definedName name="TRNR_ab1397ff3b114fa382c0a43dee2eaf5c_742_2" hidden="1">#REF!</definedName>
    <definedName name="TRNR_ab160ce17cf4422ea44bbaa9879ce11d_162_2" hidden="1">#REF!</definedName>
    <definedName name="TRNR_ab3c2e7e0656465aa88b64e76242425e_584_2" hidden="1">#REF!</definedName>
    <definedName name="TRNR_ab49a97414f24c1faa1095505a905f5a_419_2" hidden="1">#REF!</definedName>
    <definedName name="TRNR_ab6168e1432f443991537a62bbea7127_14_4" hidden="1">#REF!</definedName>
    <definedName name="TRNR_ab68d297095f4ce49188c62d41ef35fc_1152_8" hidden="1">#REF!</definedName>
    <definedName name="TRNR_ab7d59efcd3f4be7a8359dee5d3f7ae5_470_1" hidden="1">#REF!</definedName>
    <definedName name="TRNR_ab9134e11b0e4b4481dcb0a87a28c51a_16_1" hidden="1">#REF!</definedName>
    <definedName name="TRNR_abbcd3fb8a4a44aebaf811d82b484657_122_1" hidden="1">#REF!</definedName>
    <definedName name="TRNR_abbee68b2e2d49c5bbc8e3a84bb5d85c_485_8" hidden="1">#REF!</definedName>
    <definedName name="TRNR_abdf7ab869c74556a6ba59fbf337dfd2_23_4" hidden="1">#REF!</definedName>
    <definedName name="TRNR_abe093613443487aa38e13c1194bda8e_3333_1" hidden="1">#REF!</definedName>
    <definedName name="TRNR_abe794f12df04f5980ddcf167ae574f1_262_2" hidden="1">#REF!</definedName>
    <definedName name="TRNR_abe9fda1a91141fbb87fff903b643f8a_440_4" hidden="1">#REF!</definedName>
    <definedName name="TRNR_abf2294660db410b83b1153bd23cb877_377_6" hidden="1">#REF!</definedName>
    <definedName name="TRNR_abf2340901184c99ba8e56162de2b836_13_1" hidden="1">#REF!</definedName>
    <definedName name="TRNR_abf3f51254124c77a4d9ca08c902dae4_102_1" hidden="1">#REF!</definedName>
    <definedName name="TRNR_abf9875aab4649e38763362333f17a78_151_1" hidden="1">#REF!</definedName>
    <definedName name="TRNR_ac089b949dd0474e8258722c96f2ea27_113_3" hidden="1">#REF!</definedName>
    <definedName name="TRNR_ac2215a636f94077a3bdf8e2dae6eedc_105_1" hidden="1">#REF!</definedName>
    <definedName name="TRNR_ac4dbdd9d46445f68a2fb48653b8f040_246_2" hidden="1">#REF!</definedName>
    <definedName name="TRNR_ac57555c1d05481d991c5788cc453dee_13_1" hidden="1">#REF!</definedName>
    <definedName name="TRNR_ac625e489c004267bba1500fdcdab3f5_153_4" hidden="1">#REF!</definedName>
    <definedName name="TRNR_ac6cfa06fa234bafa96ba207a32d97e9_267_2" hidden="1">#REF!</definedName>
    <definedName name="TRNR_ac700834cb6340d4b726290974f84c76_2030_4" hidden="1">#REF!</definedName>
    <definedName name="TRNR_ac71013459c4457cb2d30722aa602240_149_1" hidden="1">#REF!</definedName>
    <definedName name="TRNR_aca1749e08eb42bf89cb212f14643afd_209_2" hidden="1">#REF!</definedName>
    <definedName name="TRNR_acbd8678c6b14a6398e13ba745e3bf9f_539_2" hidden="1">#REF!</definedName>
    <definedName name="TRNR_acc48bec03bd4b839904ce6c71539061_403_2" hidden="1">#REF!</definedName>
    <definedName name="TRNR_acdb08d9f0f0483d93df6d6c5f6fbde6_561_2" hidden="1">#REF!</definedName>
    <definedName name="TRNR_ace59dd35bcd4f3fa31509c89f196310_601_1" hidden="1">#REF!</definedName>
    <definedName name="TRNR_ace7b7a73e434c3a842a1a5e9f24492c_113_1" hidden="1">#REF!</definedName>
    <definedName name="TRNR_ad177abe419d4610a11fe5be3c234b48_13_1" hidden="1">#REF!</definedName>
    <definedName name="TRNR_ad1daef54a014c5b896038a2c658b59b_23_4" hidden="1">#REF!</definedName>
    <definedName name="TRNR_ad216216729d423786b7378c0e33c60c_365_3" hidden="1">#REF!</definedName>
    <definedName name="TRNR_ad40733325594782b0d812b7da31023a_146_3" hidden="1">#REF!</definedName>
    <definedName name="TRNR_ad41522080c14721ab0d46388a5b2582_386_2" hidden="1">#REF!</definedName>
    <definedName name="TRNR_ad4444f209334250bca824696b79bada_1196_5" hidden="1">#REF!</definedName>
    <definedName name="TRNR_ad5044e4a1b440cb97448813efeeb734_262_4" hidden="1">#REF!</definedName>
    <definedName name="TRNR_ad64772f4fff408cada7ec572df46203_2779_2" hidden="1">#REF!</definedName>
    <definedName name="TRNR_ad67e94d834544af82483775d3a37735_6_2" hidden="1">#REF!</definedName>
    <definedName name="TRNR_ad724bde06ec47e0818a107b5e19d061_942_7" hidden="1">#REF!</definedName>
    <definedName name="TRNR_ad7aa2de250d4eccaa3527f543c0e10a_157_7" hidden="1">#REF!</definedName>
    <definedName name="TRNR_ad8f918744d540a295de79b9ff9b6311_561_2" hidden="1">#REF!</definedName>
    <definedName name="TRNR_ad96864ecf864c6da66dc355be8b0718_16_1" hidden="1">#REF!</definedName>
    <definedName name="TRNR_ad9a0b83f60d43cd9a209925addb6f4c_330_3" hidden="1">#REF!</definedName>
    <definedName name="TRNR_ada155e0a16b488aabd262d4851cb471_184_2" hidden="1">#REF!</definedName>
    <definedName name="TRNR_ada573abb78546318d5e5aa20b41fbea_91_1" hidden="1">#REF!</definedName>
    <definedName name="TRNR_adc95904a6d2449d86a358082c555f69_149_9" hidden="1">#REF!</definedName>
    <definedName name="TRNR_addef5c8b54b453f9e3ff296f0c4898f_7_20" hidden="1">#REF!</definedName>
    <definedName name="TRNR_ade7c746f1f5498d94ce65335495861a_149_9" hidden="1">#REF!</definedName>
    <definedName name="TRNR_adec9c40ad244e3089dfe151a962481e_13_1" hidden="1">#REF!</definedName>
    <definedName name="TRNR_adecb210bd7741a282a1c7221f7acff1_119_2" hidden="1">#REF!</definedName>
    <definedName name="TRNR_adfe3e8c492f45ebb94ffca84c286c43_16_1" hidden="1">#REF!</definedName>
    <definedName name="TRNR_ae065c6323204064b343ff0288d02276_627_2" hidden="1">#REF!</definedName>
    <definedName name="TRNR_ae0adb167ec640938774803ec8a66ec3_1090_7" hidden="1">#REF!</definedName>
    <definedName name="TRNR_ae0dbb6e085d4580bcbd7272fa7ac5ef_422_3" hidden="1">#REF!</definedName>
    <definedName name="TRNR_ae14e1fb9d82453794f12d15c9421d64_16_1" hidden="1">#REF!</definedName>
    <definedName name="TRNR_ae1cd3f4a9cd4dc6982d13a7a25a58aa_252_1" hidden="1">#REF!</definedName>
    <definedName name="TRNR_ae2295d219864b659dd8cc2d2e6f1cc3_1306_8" hidden="1">#REF!</definedName>
    <definedName name="TRNR_ae39a9faff214f5dadc32cc271cfc08e_1257_8" hidden="1">#REF!</definedName>
    <definedName name="TRNR_ae62966f9b594843bd1f479a673d076c_504_8" hidden="1">#REF!</definedName>
    <definedName name="TRNR_ae67aefa405a45a594f0cb32da65d7d5_26_1" hidden="1">#REF!</definedName>
    <definedName name="TRNR_ae785473aaef42d1b420d3bf790d56bf_3_1" hidden="1">#REF!</definedName>
    <definedName name="TRNR_ae7a3b2abfcf4645a78f546535b1cf35_1037_1" hidden="1">#REF!</definedName>
    <definedName name="TRNR_ae82b4e6ea35406e924d6ea41e18c60a_626_2" hidden="1">#REF!</definedName>
    <definedName name="TRNR_ae891c1b1045400b82c98ab674b2d4a4_412_3" hidden="1">#REF!</definedName>
    <definedName name="TRNR_ae9fbd6c22b34955af058daf58250365_9_1" hidden="1">#REF!</definedName>
    <definedName name="TRNR_aea59fb38f3148ca9c7de86a532ad197_527_1" hidden="1">#REF!</definedName>
    <definedName name="TRNR_aeb24f2b76634edeb6ebdccb97299f5a_10_1" hidden="1">#REF!</definedName>
    <definedName name="TRNR_aeb6d653dad7417bb656a4f6dc81b30a_13_1" hidden="1">#REF!</definedName>
    <definedName name="TRNR_aeb778b8c94d473a96fbffd0869f5bd2_243_3" hidden="1">#REF!</definedName>
    <definedName name="TRNR_aecdfda799a641f19862a8f859151650_977_5" hidden="1">#REF!</definedName>
    <definedName name="TRNR_aed4250725b9485285ba2bc7ce39a0d0_7_1" hidden="1">#REF!</definedName>
    <definedName name="TRNR_aed6e2e12b9f4a38bf0e3b4c60b405a8_152_1" hidden="1">#REF!</definedName>
    <definedName name="TRNR_aedc4c89a05e49d2be00a056fdb801ed_531_1" hidden="1">#REF!</definedName>
    <definedName name="TRNR_aee8a2eb591843a1920695900b68da1d_16_1" hidden="1">#REF!</definedName>
    <definedName name="TRNR_af0d535cba354f308254bcb4c065207c_562_2" hidden="1">#REF!</definedName>
    <definedName name="TRNR_af14c2026891491e8f7bbb68cffc8db2_133_2" hidden="1">#REF!</definedName>
    <definedName name="TRNR_af177f5f6b37477497ac43e7ece59e43_229_1" hidden="1">#REF!</definedName>
    <definedName name="TRNR_af179661b16141e5bc1a6bb2724cc83e_684_7" hidden="1">#REF!</definedName>
    <definedName name="TRNR_af2f4709e017485098a70a6e4fb5c366_69_1" hidden="1">#REF!</definedName>
    <definedName name="TRNR_af40d741dc384cb3bf10267d25578e55_975_2" hidden="1">#REF!</definedName>
    <definedName name="TRNR_af4c0d6c313d43b0af3cad5c86ccbacb_366_2" hidden="1">#REF!</definedName>
    <definedName name="TRNR_af7918db5d384aa2a151b2c51211e2a5_581_3" hidden="1">#REF!</definedName>
    <definedName name="TRNR_af7aa9d226774e34929c2a4d347dd15c_23_4" hidden="1">#REF!</definedName>
    <definedName name="TRNR_af95486220104cfc95d7d6aa6ce4f738_1110_8" hidden="1">#REF!</definedName>
    <definedName name="TRNR_af9581e9d401438aa827fb1573423650_390_2" hidden="1">#REF!</definedName>
    <definedName name="TRNR_afa0dfb8e793421a9458141e7378d1a1_147_2" hidden="1">#REF!</definedName>
    <definedName name="TRNR_afa4cb0928324bbaa1f24c85dd9c1c2f_10_1" hidden="1">#REF!</definedName>
    <definedName name="TRNR_afa90abf69ca46bcb3135a1b94702868_133_2" hidden="1">#REF!</definedName>
    <definedName name="TRNR_afcee775c2cb48e1b2de90c012b0f510_750_2" hidden="1">#REF!</definedName>
    <definedName name="TRNR_aff7c2b2658f45938beb4248fac5bcd8_16_1" hidden="1">#REF!</definedName>
    <definedName name="TRNR_b003f5638e3042508713de9fab146439_291_1" hidden="1">#REF!</definedName>
    <definedName name="TRNR_b01797f74e3343e1b98b3f76a4e5ade8_276_4" hidden="1">#REF!</definedName>
    <definedName name="TRNR_b03166b85f1e4917963c046bae510684_16_1" hidden="1">#REF!</definedName>
    <definedName name="TRNR_b0496646cef747f5af24ca6f9feff8dc_662_4" hidden="1">#REF!</definedName>
    <definedName name="TRNR_b04c22bfe1eb43ef9c1b6ee8398778c2_177_1" hidden="1">#REF!</definedName>
    <definedName name="TRNR_b0507786dad6472eb088a5769a316abb_403_4" hidden="1">#REF!</definedName>
    <definedName name="TRNR_b05bcf9e45264c48af367d150e0ce730_36_2" hidden="1">#REF!</definedName>
    <definedName name="TRNR_b061912f613a4b2e9f24f9c528319d8d_37_1" hidden="1">#REF!</definedName>
    <definedName name="TRNR_b0623b89f4ee4d76b48cf078c07c5dcf_524_3" hidden="1">#REF!</definedName>
    <definedName name="TRNR_b067810d4e22494fa3ae7ff7a56ba002_523_2" hidden="1">#REF!</definedName>
    <definedName name="TRNR_b07394bf33ff4190aa304052aa45197f_215_2" hidden="1">#REF!</definedName>
    <definedName name="TRNR_b0a8c7fd475441a282f9160ae375ecbf_44_1" hidden="1">#REF!</definedName>
    <definedName name="TRNR_b0ae49502e2a4f36a0e641b13a49bfdc_275_2" hidden="1">#REF!</definedName>
    <definedName name="TRNR_b0b83c28828041fe85400c12f6e728fc_13_1" hidden="1">#REF!</definedName>
    <definedName name="TRNR_b0b84336cde344a69afa1e6089321e44_10_1" hidden="1">#REF!</definedName>
    <definedName name="TRNR_b0c627f2867a443da81add7cbc045bce_323_3" hidden="1">#REF!</definedName>
    <definedName name="TRNR_b0cf3ad570f74120bbe32594024ee0ff_626_2" hidden="1">#REF!</definedName>
    <definedName name="TRNR_b0cfa58bc43d42d3a6de52404357bd9d_13_1" hidden="1">#REF!</definedName>
    <definedName name="TRNR_b0d6838ceb1a4e9a9dffe5a16fe0e88d_545_2" hidden="1">#REF!</definedName>
    <definedName name="TRNR_b0de9283eac5484bb1666dc60cb7bdb6_16_1" hidden="1">#REF!</definedName>
    <definedName name="TRNR_b0ec509ca56c4e068082a2b9d88df378_16_1" hidden="1">#REF!</definedName>
    <definedName name="TRNR_b106145e6f124f609f8c68b2483999a5_1357_3" hidden="1">#REF!</definedName>
    <definedName name="TRNR_b119b7644f624e5ba3a998c43fb0cd11_1733_2" hidden="1">#REF!</definedName>
    <definedName name="TRNR_b141fa3253cb492a9464a664c63cd6c0_13_1" hidden="1">#REF!</definedName>
    <definedName name="TRNR_b14b221d30b44a8c8c2b36c8af2a2102_9_1" hidden="1">#REF!</definedName>
    <definedName name="TRNR_b1677b22980642e6bb920cbfb323dc36_22_10" hidden="1">#REF!</definedName>
    <definedName name="TRNR_b16808a68a6b40cfa4cac9ba0fcea4ef_241_4" hidden="1">#REF!</definedName>
    <definedName name="TRNR_b17125b03b0545bb8ce155ce6a5a123f_9_1" hidden="1">#REF!</definedName>
    <definedName name="TRNR_b1869f42ecc14815aeb2295da2aa172c_409_1" hidden="1">#REF!</definedName>
    <definedName name="TRNR_b1c62a21de2e4a92b6d9ab13eb3d3d74_432_2" hidden="1">#REF!</definedName>
    <definedName name="TRNR_b1d8477626b74b1cb67e69d11bada433_83_1" hidden="1">#REF!</definedName>
    <definedName name="TRNR_b1e5429525004df28ea6f66eff6d1033_496_1" hidden="1">#REF!</definedName>
    <definedName name="TRNR_b1e6ace4356e475fbf5394bc930aaddb_16_1" hidden="1">#REF!</definedName>
    <definedName name="TRNR_b1ead07d2380490fb2860b94238a8d03_484_2" hidden="1">#REF!</definedName>
    <definedName name="TRNR_b1eb55a6f1ff42f39fd1995ae7e15f57_801_2" hidden="1">#REF!</definedName>
    <definedName name="TRNR_b20e90bac9894a29a98a0f25bc3e4b24_4_1" hidden="1">#REF!</definedName>
    <definedName name="TRNR_b213694dfa9c4cc6bc061405976ccf3a_2_1" hidden="1">#REF!</definedName>
    <definedName name="TRNR_b219718474e445fbb50a686eb7f5dfa8_520_1" hidden="1">#REF!</definedName>
    <definedName name="TRNR_b231a6297b2f47d7a90741253ca14dd6_106_1" hidden="1">#REF!</definedName>
    <definedName name="TRNR_b245acf5bec8448ea2bd41f5811593c4_277_2" hidden="1">#REF!</definedName>
    <definedName name="TRNR_b2476fb3e6e042e4a64585597b9dcb91_496_1" hidden="1">#REF!</definedName>
    <definedName name="TRNR_b24d467b8e8a4339b6231dc1b14c3278_9_1" hidden="1">#REF!</definedName>
    <definedName name="TRNR_b253b8b79d1f41d59769ed12b22e3ae8_35_1" hidden="1">#REF!</definedName>
    <definedName name="TRNR_b25b3592730b49a885f50fa8ffcdf995_341_3" hidden="1">#REF!</definedName>
    <definedName name="TRNR_b25d0cc2559647b490fd605a92d912a9_404_4" hidden="1">#REF!</definedName>
    <definedName name="TRNR_b25ed33daa3c47978987ab369f875a0d_10_1" hidden="1">#REF!</definedName>
    <definedName name="TRNR_b2617bab3bc949d69fbb89684e6925cf_13_1" hidden="1">#REF!</definedName>
    <definedName name="TRNR_b263409ed493405bb97268f9adf3f679_313_2" hidden="1">#REF!</definedName>
    <definedName name="TRNR_b2712a1389fb4506bc2f99ff1051af24_26_5" hidden="1">#REF!</definedName>
    <definedName name="TRNR_b2717ee792204e2ba763e45e7587d067_335_2" hidden="1">#REF!</definedName>
    <definedName name="TRNR_b289d1f32d2a44e98fa6a50dcf3f5f73_78_4" hidden="1">#REF!</definedName>
    <definedName name="TRNR_b2a9920f169e4152a6ae1d6eb0bddbfe_6_2" hidden="1">#REF!</definedName>
    <definedName name="TRNR_b2c831c11c5943d8bbf6cafb67cda9e4_4867_2" hidden="1">#REF!</definedName>
    <definedName name="TRNR_b2c90bd99a734a6a8fdab9bfdaed23a8_262_2" hidden="1">#REF!</definedName>
    <definedName name="TRNR_b2cbc9dd0038414baa6807fb84a1296e_1_7" hidden="1">#REF!</definedName>
    <definedName name="TRNR_b2cf642280dd4b9fb88b454c32352c6d_528_1" hidden="1">#REF!</definedName>
    <definedName name="TRNR_b3065e8e4a614b2486674a674f44cc29_16_1" hidden="1">#REF!</definedName>
    <definedName name="TRNR_b311936a0e404118b45cd41932cd8acd_557_2" hidden="1">#REF!</definedName>
    <definedName name="TRNR_b3182025712346cf9574e145caa9db3e_16_1" hidden="1">#REF!</definedName>
    <definedName name="TRNR_b3219b6b9b674b1cb8351986dddab5d9_542_2" hidden="1">#REF!</definedName>
    <definedName name="TRNR_b32262fbee7643ae90b460d2ae72d798_8_1" hidden="1">#REF!</definedName>
    <definedName name="TRNR_b32562b606ad4d8b911e9a45760344fa_688_2" hidden="1">#REF!</definedName>
    <definedName name="TRNR_b32d7d6330e84c6eb5f3e64e6b0b61b9_592_2" hidden="1">#REF!</definedName>
    <definedName name="TRNR_b38187eada1c42969db0aa393f0d7bd3_977_7" hidden="1">#REF!</definedName>
    <definedName name="TRNR_b391a68962924258b3335b9303daacc1_126_1" hidden="1">#REF!</definedName>
    <definedName name="TRNR_b3924466a13d47ce839f3433824644c1_144_2" hidden="1">#REF!</definedName>
    <definedName name="TRNR_b396b1e696a546f5accb2d498abd8638_302_2" hidden="1">#REF!</definedName>
    <definedName name="TRNR_b3a6d937420b4d2294d5e602dce0b5e0_8_1" hidden="1">#REF!</definedName>
    <definedName name="TRNR_b3a8eb4b84b04e179385d1dd93ca9573_318_3" hidden="1">#REF!</definedName>
    <definedName name="TRNR_b3bf7a6ed90640429dcda051c536217d_13_1" hidden="1">#REF!</definedName>
    <definedName name="TRNR_b3c7b6d7097f4cfd8575db29d30c3851_897_7" hidden="1">#REF!</definedName>
    <definedName name="TRNR_b3fada7afbbc4b0da697878d120bcd39_121_2" hidden="1">#REF!</definedName>
    <definedName name="TRNR_b3fc02755d8a4422b7aacaacbf63d3ce_16_1" hidden="1">#REF!</definedName>
    <definedName name="TRNR_b401cb548b8541e5ae37767562275b3c_526_2" hidden="1">#REF!</definedName>
    <definedName name="TRNR_b4132f26cbe64684b6029e7712dfdf66_806_2" hidden="1">#REF!</definedName>
    <definedName name="TRNR_b418d80d635e45df8162840cd8a366f3_459_4" hidden="1">#REF!</definedName>
    <definedName name="TRNR_b44c4d4e7784473f9bbc4b07db09c2a8_181_2" hidden="1">#REF!</definedName>
    <definedName name="TRNR_b458c56ff2d0427bb003f30058bb1bde_557_2" hidden="1">#REF!</definedName>
    <definedName name="TRNR_b45ee82ab4ac4082964db9b261403198_9_1" hidden="1">#REF!</definedName>
    <definedName name="TRNR_b47d9c4b49c64565aab048bce1c22e0b_228_2" hidden="1">#REF!</definedName>
    <definedName name="TRNR_b483f99e4ec2449aa46d8c18817801cd_397_1" hidden="1">#REF!</definedName>
    <definedName name="TRNR_b4ae178ab81240218e9f21e9105722de_16_1" hidden="1">#REF!</definedName>
    <definedName name="TRNR_b4c6ed4407ea46c7808ffc0340902c4a_11_3" hidden="1">#REF!</definedName>
    <definedName name="TRNR_b4e26b51c37d47bab4f6f2db198764a3_937_7" hidden="1">#REF!</definedName>
    <definedName name="TRNR_b4ec335ee0ae4ecab64ca6da5cca6143_419_2" hidden="1">#REF!</definedName>
    <definedName name="TRNR_b4f7ce8f893845d7b16c1f7e354aa323_13_1" hidden="1">#REF!</definedName>
    <definedName name="TRNR_b4f97b3262ae4af78bf7f76f90439603_8_2" hidden="1">#REF!</definedName>
    <definedName name="TRNR_b51b0d6af9f94f8f884a27b5e44dd6f9_16_1" hidden="1">#REF!</definedName>
    <definedName name="TRNR_b53619cc548a400e8b2344ee98db078e_296_2" hidden="1">#REF!</definedName>
    <definedName name="TRNR_b57982655a6d4d8aa273a4fc817167e8_36_1" hidden="1">#REF!</definedName>
    <definedName name="TRNR_b58afbd50a8a43a6971e451fb62a521d_346_2" hidden="1">#REF!</definedName>
    <definedName name="TRNR_b5a86199f6ad4791a5ed1757285992a1_241_2" hidden="1">#REF!</definedName>
    <definedName name="TRNR_b5ae324749204efb950fe641883136c8_986_8" hidden="1">#REF!</definedName>
    <definedName name="TRNR_b5c15b4a871447e78b547dd4eb2b0221_260_1" hidden="1">#REF!</definedName>
    <definedName name="TRNR_b5cb23350a2c41b0b8f46943cbbeb478_551_2" hidden="1">#REF!</definedName>
    <definedName name="TRNR_b5d018e0b64140428cc98e9520212c0f_65_3" hidden="1">#REF!</definedName>
    <definedName name="TRNR_b5d1b25387cf43aa93c6db941ce33582_433_2" hidden="1">#REF!</definedName>
    <definedName name="TRNR_b5e13cfb6a9c4a8fbf030890af2b5466_407_3" hidden="1">#REF!</definedName>
    <definedName name="TRNR_b5e38bca41884cec9af34a5fe4542697_417_3" hidden="1">#REF!</definedName>
    <definedName name="TRNR_b5ed998765e34c0cb5910295fda98c00_523_2" hidden="1">#REF!</definedName>
    <definedName name="TRNR_b60f71a9c53c41418efcd74e70a357a8_11_3" hidden="1">#REF!</definedName>
    <definedName name="TRNR_b62fd53be40b486a988d7bb60914a00f_10_1" hidden="1">#REF!</definedName>
    <definedName name="TRNR_b6363db7d0384eb488f5026846f6e1f5_13_1" hidden="1">#REF!</definedName>
    <definedName name="TRNR_b64c3d7cfa3d44899925670c3b5d0932_9872_2" hidden="1">#REF!</definedName>
    <definedName name="TRNR_b64ff7c20cdf45889f14871649a2e0d5_542_4" hidden="1">#REF!</definedName>
    <definedName name="TRNR_b663ab24971f453ba77508069daf54a3_144_4" hidden="1">#REF!</definedName>
    <definedName name="TRNR_b6652b6b0259405fb35cce36b3d8ae23_7644_1" hidden="1">#REF!</definedName>
    <definedName name="TRNR_b68713019a0b4cc3bfd3ac79c184d265_162_1" hidden="1">#REF!</definedName>
    <definedName name="TRNR_b692be53d16848c189ba31a089a9b57a_2186_2" hidden="1">#REF!</definedName>
    <definedName name="TRNR_b6a2b5862d7d48d3825286dfa5721901_289_2" hidden="1">#REF!</definedName>
    <definedName name="TRNR_b6bb10de813a4525956e7d0817604ecf_133_2" hidden="1">#REF!</definedName>
    <definedName name="TRNR_b6c001d7ad8f4b5b8e28c1b200f824c9_127_2" hidden="1">#REF!</definedName>
    <definedName name="TRNR_b6c53dcfd66e420d97e20ea7e1cd8a41_94_2" hidden="1">#REF!</definedName>
    <definedName name="TRNR_b6c5ae2b1a974d8cbf34bb63e161c081_267_2" hidden="1">#REF!</definedName>
    <definedName name="TRNR_b6d4c9d3fdb7447ca469c62c3610875d_365_4" hidden="1">#REF!</definedName>
    <definedName name="TRNR_b6d58a5a684b4dc0bff30cb38106b4f5_150_4" hidden="1">#REF!</definedName>
    <definedName name="TRNR_b6e87cf811ac44f59891867571b9b158_632_2" hidden="1">#REF!</definedName>
    <definedName name="TRNR_b7068162add8445bad32edfc655a6f23_13_1" hidden="1">#REF!</definedName>
    <definedName name="TRNR_b7095c448a324d6996a852986b654a02_16_1" hidden="1">#REF!</definedName>
    <definedName name="TRNR_b74674640d17407b9a8162700255c4c4_1086_4" hidden="1">#REF!</definedName>
    <definedName name="TRNR_b77c67b493bf49a78dbe48f1cf747084_362_3" hidden="1">#REF!</definedName>
    <definedName name="TRNR_b780046a74d74d22bb1c5a56d3cc781b_13_1" hidden="1">#REF!</definedName>
    <definedName name="TRNR_b7926a2bb14142e08156dbbfdccbee97_1126_8" hidden="1">#REF!</definedName>
    <definedName name="TRNR_b794afdf10d14b3da1528e446320a04d_634_2" hidden="1">#REF!</definedName>
    <definedName name="TRNR_b79ba0144ee645198bc3f30ed0c6831e_131_1" hidden="1">#REF!</definedName>
    <definedName name="TRNR_b7a323f2949141dc82e74e898d99f322_404_2" hidden="1">#REF!</definedName>
    <definedName name="TRNR_b7b1a8435fac4ca0a32f599b3970c262_102_2" hidden="1">#REF!</definedName>
    <definedName name="TRNR_b7bb4e323ad94e3e8a6e682a2532652b_154_2" hidden="1">#REF!</definedName>
    <definedName name="TRNR_b7c8469ad89a454d973877a05473a478_522_2" hidden="1">#REF!</definedName>
    <definedName name="TRNR_b7d0279219c846f3979ec1d721b007bc_474_3" hidden="1">#REF!</definedName>
    <definedName name="TRNR_b7d121a723734b158cbab3e422e36ea0_539_3" hidden="1">#REF!</definedName>
    <definedName name="TRNR_b7da0f4f30004833a412ef044cf35575_16_1" hidden="1">#REF!</definedName>
    <definedName name="TRNR_b7eb2d6c8ff147b3b4f7e16cb466798a_16_1" hidden="1">#REF!</definedName>
    <definedName name="TRNR_b7f4516666214d668e3da43aeadfdf6f_731_5" hidden="1">#REF!</definedName>
    <definedName name="TRNR_b7fd971765064259b28c9f1d31e0279f_9_1" hidden="1">#REF!</definedName>
    <definedName name="TRNR_b800dd3b305f4afdaed1052bedada7e8_3200_2" hidden="1">#REF!</definedName>
    <definedName name="TRNR_b81966182f2544b597eaa31ccfdd7824_215_2" hidden="1">#REF!</definedName>
    <definedName name="TRNR_b81d3e83d38d4c8294ccd035b6909cb1_426_3" hidden="1">#REF!</definedName>
    <definedName name="TRNR_b81f834b3042463eb253fa4f0b18984e_1187_5" hidden="1">#REF!</definedName>
    <definedName name="TRNR_b8298371b5d846908afec4104b6020b1_736_2" hidden="1">#REF!</definedName>
    <definedName name="TRNR_b835bb63a5944d25beace3ad38356d69_13_1" hidden="1">#REF!</definedName>
    <definedName name="TRNR_b837adf4c92c426cbd4580dd37f154e4_291_2" hidden="1">#REF!</definedName>
    <definedName name="TRNR_b83919cc3a3a4a1eb4cf29927bc3356e_13_1" hidden="1">#REF!</definedName>
    <definedName name="TRNR_b85c11d51e954944954290eb58a4a046_23_4" hidden="1">#REF!</definedName>
    <definedName name="TRNR_b85e7a7957fe4ef68d592a0e5666b734_339_2" hidden="1">#REF!</definedName>
    <definedName name="TRNR_b885c8ccf65248919f508ce563c7f412_9_1" hidden="1">#REF!</definedName>
    <definedName name="TRNR_b8a867362c9a40bfb993a17ead7b67c2_2176_1" hidden="1">#REF!</definedName>
    <definedName name="TRNR_b8ab4a34a568480eac69f18ab62af3e4_37_1" hidden="1">#REF!</definedName>
    <definedName name="TRNR_b8cd4e287a8a4934b06e385d6636e885_408_2" hidden="1">#REF!</definedName>
    <definedName name="TRNR_b8d379a3e3d74b9ab9a1a7a1d9b95d57_244_2" hidden="1">#REF!</definedName>
    <definedName name="TRNR_b8dfae82b58e482a9220af6f782b4a0a_9_1" hidden="1">#REF!</definedName>
    <definedName name="TRNR_b8f268e8cd3e454fb4b92535e5d1387b_342_3" hidden="1">#REF!</definedName>
    <definedName name="TRNR_b9096c3258824b16b06fab02a06d6925_106_1" hidden="1">#REF!</definedName>
    <definedName name="TRNR_b90b1944ece24fbc96513de220091ec7_167_6" hidden="1">#REF!</definedName>
    <definedName name="TRNR_b90f4974f3674e27a4f26b0b25bf1d83_215_2" hidden="1">#REF!</definedName>
    <definedName name="TRNR_b918a1b8bd3349ceaed3e70d0af7b466_261_1" hidden="1">#REF!</definedName>
    <definedName name="TRNR_b9279ae2d54b44a48f07d250d7373f52_133_2" hidden="1">#REF!</definedName>
    <definedName name="TRNR_b9351ecf815947c3a19e14994b92776f_235_3" hidden="1">#REF!</definedName>
    <definedName name="TRNR_b93c677e210d4e57af65f5953a05c8ca_285_7" hidden="1">#REF!</definedName>
    <definedName name="TRNR_b94a7afc38dd45d395805c38fccbda65_168_2" hidden="1">#REF!</definedName>
    <definedName name="TRNR_b988b1800ec246a280833af7d2058054_16_1" hidden="1">#REF!</definedName>
    <definedName name="TRNR_b98b2327adf944ca894b8cfd31545143_16_1" hidden="1">#REF!</definedName>
    <definedName name="TRNR_b9a04b962103488bac95dfbe81290c4d_520_1" hidden="1">#REF!</definedName>
    <definedName name="TRNR_b9a2893e18094a1dbdfed151f0815416_10_1" hidden="1">#REF!</definedName>
    <definedName name="TRNR_b9a824cf31a3423f851859c091e38978_16_1" hidden="1">#REF!</definedName>
    <definedName name="TRNR_b9abcf9b91ef4502bd6352855527a83d_244_2" hidden="1">#REF!</definedName>
    <definedName name="TRNR_b9ace4b5f2004824a87397b79775595e_139_2" hidden="1">#REF!</definedName>
    <definedName name="TRNR_b9b611f1a79f4ea6bcfee240eb0e0b41_2_12" hidden="1">#REF!</definedName>
    <definedName name="TRNR_b9c0d13954b348d6affd2575caaad0be_284_2" hidden="1">#REF!</definedName>
    <definedName name="TRNR_b9c835789a874b1392bf3241a4d54a0f_455_2" hidden="1">#REF!</definedName>
    <definedName name="TRNR_b9cfb4e19595476ca2d48f751f6a679a_365_1" hidden="1">#REF!</definedName>
    <definedName name="TRNR_b9e7b6e7e1294528971983c27201393a_13_1" hidden="1">#REF!</definedName>
    <definedName name="TRNR_b9f01924da144d91aae4adcee4c04837_352_2" hidden="1">#REF!</definedName>
    <definedName name="TRNR_b9f8659f5bd94536b07394b3a23064a2_23_4" hidden="1">#REF!</definedName>
    <definedName name="TRNR_ba0a8e279a004e97a12833634b1b4305_526_1" hidden="1">#REF!</definedName>
    <definedName name="TRNR_ba15e19dce5a40419d0fb631b5994d56_304_5" hidden="1">#REF!</definedName>
    <definedName name="TRNR_ba389e5e5dfc4ddda6bd81e6c0fd83d7_122_3" hidden="1">#REF!</definedName>
    <definedName name="TRNR_ba4b96792fdd4703933d3d917b3b977d_587_8" hidden="1">#REF!</definedName>
    <definedName name="TRNR_ba55b7e59f35410d9401e00b89b394b5_9055_1" hidden="1">#REF!</definedName>
    <definedName name="TRNR_ba59e19252e8468dbb401534b2b12ae6_354_3" hidden="1">#REF!</definedName>
    <definedName name="TRNR_ba6b2c53c88a4bc4a8e01e49bc84498d_132_2" hidden="1">#REF!</definedName>
    <definedName name="TRNR_ba7cf3d962374a2ab8464beb9984838e_267_2" hidden="1">#REF!</definedName>
    <definedName name="TRNR_ba8141ec29154cd2b1bc3dc836b5888b_412_3" hidden="1">#REF!</definedName>
    <definedName name="TRNR_ba86c44ea6704dbfbe58b6f4c61ff9bb_13_1" hidden="1">#REF!</definedName>
    <definedName name="TRNR_ba8bd85ce34e47a4990326379e693ec2_318_2" hidden="1">#REF!</definedName>
    <definedName name="TRNR_ba8e141aaa5e4c38b50b7a901a37e5d1_14_1" hidden="1">#REF!</definedName>
    <definedName name="TRNR_baab311d77424bbea3b692c956988d34_266_2" hidden="1">#REF!</definedName>
    <definedName name="TRNR_bab12d7fb554467d9b9b2b400420b0fe_44_2" hidden="1">#REF!</definedName>
    <definedName name="TRNR_bab3b8a35da641a48bab5a0ca11f1000_133_2" hidden="1">#REF!</definedName>
    <definedName name="TRNR_babac09b0a0942e7b915d4284b9e4699_287_2" hidden="1">#REF!</definedName>
    <definedName name="TRNR_badd0447cc5546a1a56461caf72c8739_301_3" hidden="1">#REF!</definedName>
    <definedName name="TRNR_bae691156335427d906ad60375e56984_26_1" hidden="1">#REF!</definedName>
    <definedName name="TRNR_baf6cbf1703441f7af9eb8b0a6bc524c_16_1" hidden="1">#REF!</definedName>
    <definedName name="TRNR_bafc0872d7fd4266bd64037e42c78608_35_1" hidden="1">#REF!</definedName>
    <definedName name="TRNR_bb0815d8d8264a4ea8f4017dad5f4218_26_6" hidden="1">#REF!</definedName>
    <definedName name="TRNR_bb186d7f8cf94264be59fc957f5ac12b_131_2" hidden="1">#REF!</definedName>
    <definedName name="TRNR_bb4b61ad6b44428787ca0ff76c16db92_16_1" hidden="1">#REF!</definedName>
    <definedName name="TRNR_bb5c8ffef4c24bbdb7a07226189edf32_16_1" hidden="1">#REF!</definedName>
    <definedName name="TRNR_bb617903e3ff4e23a655df204daf6173_345_3" hidden="1">#REF!</definedName>
    <definedName name="TRNR_bb6d06b948d2468392b58dd9cbed74f6_369_5" hidden="1">#REF!</definedName>
    <definedName name="TRNR_bb75cdb00e4c4760aafef40971225b19_222_3" hidden="1">#REF!</definedName>
    <definedName name="TRNR_bb7c7bd5426b4ed8b277683b8dd66bd8_42_7" hidden="1">#REF!</definedName>
    <definedName name="TRNR_bb9645c46bd6415ca0a214f6d1b5350f_501_2" hidden="1">#REF!</definedName>
    <definedName name="TRNR_bb99c1b105fd431494459017d1f0cbf9_16_1" hidden="1">#REF!</definedName>
    <definedName name="TRNR_bb9facc912ad4805ace6f8d5ded94edb_13_1" hidden="1">#REF!</definedName>
    <definedName name="TRNR_bba8e951d45d48cc8bbc67b029872f46_150_3" hidden="1">#REF!</definedName>
    <definedName name="TRNR_bbabffce0fc7468e9966e0e3a5b73161_127_3" hidden="1">#REF!</definedName>
    <definedName name="TRNR_bbaf828e79aa42d184591a2a03cb52ca_162_1" hidden="1">#REF!</definedName>
    <definedName name="TRNR_bbba2ffeea9a4a6b9d2a7b6e6262f03f_209_2" hidden="1">#REF!</definedName>
    <definedName name="TRNR_bbc3112789a64ec8aa919adb806f5c09_149_1" hidden="1">#REF!</definedName>
    <definedName name="TRNR_bbc4d812fe33429d94a14fc6a95042b2_10_1" hidden="1">#REF!</definedName>
    <definedName name="TRNR_bbc88ad6d13044ebb6575c3e5cebccad_475_4" hidden="1">#REF!</definedName>
    <definedName name="TRNR_bbc90831b17b41228089e8a7359b282c_156_1" hidden="1">#REF!</definedName>
    <definedName name="TRNR_bbcb4c15b57346838e09a6176ad89e88_527_2" hidden="1">#REF!</definedName>
    <definedName name="TRNR_bbd392a9514347a793f01c954333e08a_38_1" hidden="1">#REF!</definedName>
    <definedName name="TRNR_bbd56fd4b9b54336965ab4fb9ba20173_2_1" hidden="1">#REF!</definedName>
    <definedName name="TRNR_bbf9e9a3771645f38d064ee64c16c627_16_1" hidden="1">#REF!</definedName>
    <definedName name="TRNR_bc1556184304494eb5a98f50d9e98a84_238_2" hidden="1">#REF!</definedName>
    <definedName name="TRNR_bc28a4885e624594b8d6c8ba5d8b2caa_231_12" hidden="1">#REF!</definedName>
    <definedName name="TRNR_bc39be8feb704a579aa6d89c2956b7b3_119_2" hidden="1">#REF!</definedName>
    <definedName name="TRNR_bc3b56a654be4623a7d20f69d3b23e26_9_1" hidden="1">#REF!</definedName>
    <definedName name="TRNR_bc4c3bf61d2e49bd8ec87c35f2f3dd9b_294_5" hidden="1">#REF!</definedName>
    <definedName name="TRNR_bc74c55f11484d95abdb7ae6e1f00d0b_241_2" hidden="1">#REF!</definedName>
    <definedName name="TRNR_bc79430e8bb2478da55e5f5c028cc2f7_149_9" hidden="1">#REF!</definedName>
    <definedName name="TRNR_bc7cd475808b443ab8c6b58e437736f5_468_3" hidden="1">#REF!</definedName>
    <definedName name="TRNR_bc84e6e95e044db591633426b0a1788e_4_1" hidden="1">#REF!</definedName>
    <definedName name="TRNR_bc9145c3d12647fc8c7c21a47ce6ca6c_146_1" hidden="1">#REF!</definedName>
    <definedName name="TRNR_bc9c3e293be04b4e9b19ac61336d7031_932_6" hidden="1">#REF!</definedName>
    <definedName name="TRNR_bc9e991c98c848e98bd07c19e68c891f_544_2" hidden="1">#REF!</definedName>
    <definedName name="TRNR_bcec771119824fd3b6738cc335ed7684_290_2" hidden="1">#REF!</definedName>
    <definedName name="TRNR_bcee30229cb44bcfa47ed7c5d3de671c_484_2" hidden="1">#REF!</definedName>
    <definedName name="TRNR_bcfa4be5f7124c83bf4abed0dced2095_938_2" hidden="1">#REF!</definedName>
    <definedName name="TRNR_bcfb0fdb8fc945069f74513801e21f6f_26_4" hidden="1">#REF!</definedName>
    <definedName name="TRNR_bd01652b1815421cbe54a7c57a188d6d_781_5" hidden="1">#REF!</definedName>
    <definedName name="TRNR_bd05bd55579c4aba8c9f47564c5d4285_9_1" hidden="1">#REF!</definedName>
    <definedName name="TRNR_bd1a813a5e5f45c8a8af8406175ff078_142_2" hidden="1">#REF!</definedName>
    <definedName name="TRNR_bd27fe005f5c496d9bd1ba3e13e115b2_140_2" hidden="1">#REF!</definedName>
    <definedName name="TRNR_bd2befa9822048b5bed715328552ec58_409_3" hidden="1">#REF!</definedName>
    <definedName name="TRNR_bd3f51ad5e134a22b6c31274f1d1f98c_13_1" hidden="1">#REF!</definedName>
    <definedName name="TRNR_bd440db5361c4043b36dc6ffab0dbe6d_42_7" hidden="1">#REF!</definedName>
    <definedName name="TRNR_bd4aebdba09e4eb29b8eb44001e0b862_315_3" hidden="1">#REF!</definedName>
    <definedName name="TRNR_bd52e3340b884e9f88c4b3d97daa245f_229_5" hidden="1">#REF!</definedName>
    <definedName name="TRNR_bd6953d6ebe343ef8da024c518159df2_5794_1" hidden="1">#REF!</definedName>
    <definedName name="TRNR_bd6c38948c85471e81bf7a3524fe3c44_13_1" hidden="1">#REF!</definedName>
    <definedName name="TRNR_bd719e231efb4203a171e7407aae9791_53_6" hidden="1">#REF!</definedName>
    <definedName name="TRNR_bd8406036fc64d968704d1d92129a810_124_1" hidden="1">#REF!</definedName>
    <definedName name="TRNR_bd9086afbeca4f5889d9eea26c1dc047_1164_3" hidden="1">#REF!</definedName>
    <definedName name="TRNR_bd91c98fa2d34fe08b4f4ca12daf1f66_198_2" hidden="1">#REF!</definedName>
    <definedName name="TRNR_bd94cb85d4484ce39860f40efe616bb3_35_1" hidden="1">#REF!</definedName>
    <definedName name="TRNR_bda303f743d44c2997388f038c53b703_16_1" hidden="1">#REF!</definedName>
    <definedName name="TRNR_bdb27f3adce24aabac4050f8be91cd13_241_2" hidden="1">#REF!</definedName>
    <definedName name="TRNR_bddc5fce375d496b90e859918f26fae1_546_2" hidden="1">#REF!</definedName>
    <definedName name="TRNR_bde13515d4ea416da150045f40c1c432_81_1" hidden="1">#REF!</definedName>
    <definedName name="TRNR_bde6136901b043069c4fe1d150e5ea7c_449_2" hidden="1">#REF!</definedName>
    <definedName name="TRNR_bdfa54aa653e4bf79292041550976ded_9_1" hidden="1">#REF!</definedName>
    <definedName name="TRNR_be05f4e053ae46cb8fd28ac7ab6fe953_2_1" hidden="1">#REF!</definedName>
    <definedName name="TRNR_be09e41cf4f143fbb6c6863852ca04ae_215_2" hidden="1">#REF!</definedName>
    <definedName name="TRNR_be0aae268a15477aa47222f02c340df2_600_1" hidden="1">#REF!</definedName>
    <definedName name="TRNR_be13106d64bd4fe7bac8d0a260133877_553_2" hidden="1">#REF!</definedName>
    <definedName name="TRNR_be1a6d05809746f7aead9fe2564818de_11_2" hidden="1">#REF!</definedName>
    <definedName name="TRNR_be21d7d7c07d4c479737b33811b7ed31_695_2" hidden="1">#REF!</definedName>
    <definedName name="TRNR_be24a9c9b0c148ed93d84b91d6c5af12_13_1" hidden="1">#REF!</definedName>
    <definedName name="TRNR_be62910ad8ab488cbe44326c084b99b3_154_7" hidden="1">#REF!</definedName>
    <definedName name="TRNR_be669d7a1f7740cbb4ab9f8720866ae1_13_1" hidden="1">#REF!</definedName>
    <definedName name="TRNR_be6fa04a573a43ce906a6bb800ea55ff_408_5" hidden="1">#REF!</definedName>
    <definedName name="TRNR_be7fbc39216f4c6699862fd004c9ab76_244_4" hidden="1">#REF!</definedName>
    <definedName name="TRNR_be86319e38e94025bf91824917edaabe_1999_2" hidden="1">#REF!</definedName>
    <definedName name="TRNR_be91283263834205838f16fb14bf01d7_157_3" hidden="1">#REF!</definedName>
    <definedName name="TRNR_be965f4579e8485d9c1ea396f8321c5c_314_2" hidden="1">#REF!</definedName>
    <definedName name="TRNR_beae3c1ab7f24406bf9a8db855bb5526_2_3" hidden="1">#REF!</definedName>
    <definedName name="TRNR_beb7d3f571bf4ca89460e242aea69265_4_3" hidden="1">#REF!</definedName>
    <definedName name="TRNR_beb7f89992b24b62bdcb5554a5040209_10_1" hidden="1">#REF!</definedName>
    <definedName name="TRNR_bec187b775b64dad8c37478f6d89ebdf_153_1" hidden="1">#REF!</definedName>
    <definedName name="TRNR_bee17fd1d00a4bf39a7206335c7dd726_10_1" hidden="1">#REF!</definedName>
    <definedName name="TRNR_befb622c001847eda0dee29ceebc85b8_13_1" hidden="1">#REF!</definedName>
    <definedName name="TRNR_bf03d4dbc0c74ff3b6cc0a456c1898e7_35_1" hidden="1">#REF!</definedName>
    <definedName name="TRNR_bf06c55b23894382b0dd6195772ad5fb_16_1" hidden="1">#REF!</definedName>
    <definedName name="TRNR_bf0c4acdcda346d3b35902ca0d948f7f_2080_1" hidden="1">#REF!</definedName>
    <definedName name="TRNR_bf0f40bb00664ba5861673af5654a3b3_660_4" hidden="1">#REF!</definedName>
    <definedName name="TRNR_bf1f7554cad24016ba1fa05f4c7b42da_580_2" hidden="1">#REF!</definedName>
    <definedName name="TRNR_bf46ab1819d14f40aacf96528426d69e_318_4" hidden="1">#REF!</definedName>
    <definedName name="TRNR_bf5199b692284ee085b5280b838c623d_7_20" hidden="1">#REF!</definedName>
    <definedName name="TRNR_bf569fe518c947318c6605a7a1dc00c6_9055_1" hidden="1">#REF!</definedName>
    <definedName name="TRNR_bf5cfcebc7004ecbacf810a2cbe8ee4d_286_2" hidden="1">#REF!</definedName>
    <definedName name="TRNR_bf5e9bd827594af0a4dabca55636df68_62_1" hidden="1">#REF!</definedName>
    <definedName name="TRNR_bf5f5ec12913406d89a6f3ad84365741_23_4" hidden="1">#REF!</definedName>
    <definedName name="TRNR_bf7165193f6146a9a3eaaeb5cc9e03bf_215_2" hidden="1">#REF!</definedName>
    <definedName name="TRNR_bf77019a753c4037ba1c578667d3abb8_409_2" hidden="1">#REF!</definedName>
    <definedName name="TRNR_bf7a3d62a5fe4174a0b9c0a0b7dbb8d9_23_4" hidden="1">#REF!</definedName>
    <definedName name="TRNR_bf877f35fff143249189f624ad3a088c_95_2" hidden="1">#REF!</definedName>
    <definedName name="TRNR_bf98b17322c04343abf15cc874cd4960_133_2" hidden="1">#REF!</definedName>
    <definedName name="TRNR_bfa0b3dde4aa4a95a922de57a813169a_119_2" hidden="1">#REF!</definedName>
    <definedName name="TRNR_bfb5fecfcbe14cf1a562b560d1630362_625_2" hidden="1">#REF!</definedName>
    <definedName name="TRNR_bfc3070a139b4ff99d592e85bfe376df_246_2" hidden="1">#REF!</definedName>
    <definedName name="TRNR_bfddf611ede24c6c8ad50e12ed25499c_1108_8" hidden="1">#REF!</definedName>
    <definedName name="TRNR_bfeb8c90c50a45a8ad932359f2314c21_35_1" hidden="1">#REF!</definedName>
    <definedName name="TRNR_bff3ce6aca39402b97ad324e6d89d3b0_260_4" hidden="1">#REF!</definedName>
    <definedName name="TRNR_bffff721d68941ed8a820c1050de3489_527_2" hidden="1">#REF!</definedName>
    <definedName name="TRNR_c00966c6708f401484be1461c2dd3b26_1017_7" hidden="1">#REF!</definedName>
    <definedName name="TRNR_c0195fbb50eb41949f765d4fde35b47f_107_1" hidden="1">#REF!</definedName>
    <definedName name="TRNR_c01d7022b69348c08bdf44b354b2e5a3_540_1" hidden="1">#REF!</definedName>
    <definedName name="TRNR_c01e9105a9614b7c936fdb5dbfe6c22c_16_1" hidden="1">#REF!</definedName>
    <definedName name="TRNR_c02516591cb5489f9677e3994ec394f0_275_4" hidden="1">#REF!</definedName>
    <definedName name="TRNR_c0356863c00e497284ad171ae1225ec3_235_2" hidden="1">#REF!</definedName>
    <definedName name="TRNR_c043d60609624a1f970ca93863f9153a_420_3" hidden="1">#REF!</definedName>
    <definedName name="TRNR_c0452a76c26d4db9b6c82491b62606a8_150_3" hidden="1">#REF!</definedName>
    <definedName name="TRNR_c04a30d16cd84322884349a19fd8dd0a_542_1" hidden="1">#REF!</definedName>
    <definedName name="TRNR_c05ed48d4ab1411589ea80a1cfe21e47_4_1" hidden="1">#REF!</definedName>
    <definedName name="TRNR_c061744f787a4b278f9e2365706b2aeb_441_1" hidden="1">#REF!</definedName>
    <definedName name="TRNR_c06d58b4893549afbf7ee20cfa17b865_532_2" hidden="1">#REF!</definedName>
    <definedName name="TRNR_c0731e2e73a74342b67d85584bb0c45b_16_1" hidden="1">#REF!</definedName>
    <definedName name="TRNR_c075c2a7b14341b4a4e2ec0239a24104_37_1" hidden="1">#REF!</definedName>
    <definedName name="TRNR_c07c3d09af1c42d18cc050e332c28ad4_13_1" hidden="1">#REF!</definedName>
    <definedName name="TRNR_c087aafc8e06485786b63705448d6f88_2080_1" hidden="1">#REF!</definedName>
    <definedName name="TRNR_c095fa69466645bc8712e0639ae245d4_23_4" hidden="1">#REF!</definedName>
    <definedName name="TRNR_c097e5fdc5f14b6f9fa1b47bb7bbc4cf_456_2" hidden="1">#REF!</definedName>
    <definedName name="TRNR_c0a163f0e3b743649c6628a32af1f626_122_2" hidden="1">#REF!</definedName>
    <definedName name="TRNR_c0c334ec4faf440892843414c4382f3e_10_1" hidden="1">#REF!</definedName>
    <definedName name="TRNR_c0d0e8db87244811825d173d74288683_13_1" hidden="1">#REF!</definedName>
    <definedName name="TRNR_c0d432a19526480884809bb5ddc9d4a8_8_5" hidden="1">#REF!</definedName>
    <definedName name="TRNR_c0ec0e1632bf4b1a81547e5b0b9820c7_304_3" hidden="1">#REF!</definedName>
    <definedName name="TRNR_c1116ed7a4d44c939ffac04314b86a20_7_6" hidden="1">#REF!</definedName>
    <definedName name="TRNR_c115978486db4f4696dff2bf1e91403d_137_2" hidden="1">#REF!</definedName>
    <definedName name="TRNR_c11bda89e5ac4330906f42954df2977c_156_2" hidden="1">#REF!</definedName>
    <definedName name="TRNR_c1203197aa4c4bd7a83133a8d8833300_38_1" hidden="1">#REF!</definedName>
    <definedName name="TRNR_c12bab0e9be848349d79b48ebbac8ff5_1281_8" hidden="1">#REF!</definedName>
    <definedName name="TRNR_c14fc3d0f6fb4643b85e2b27eadf6936_13_1" hidden="1">#REF!</definedName>
    <definedName name="TRNR_c162641a93384c67a05d956e57bb0512_661_2" hidden="1">#REF!</definedName>
    <definedName name="TRNR_c16cbd2a627444aa92b04add9bc13f73_16_1" hidden="1">#REF!</definedName>
    <definedName name="TRNR_c17827c03197489589a504e455944761_669_4" hidden="1">#REF!</definedName>
    <definedName name="TRNR_c180bf28950e4b81aa66fa3e0026939e_94_2" hidden="1">#REF!</definedName>
    <definedName name="TRNR_c19783124de94c18b05130f5126a87d1_336_3" hidden="1">#REF!</definedName>
    <definedName name="TRNR_c1b2e2a13b5448b089f87b7022e41e91_59_1" hidden="1">#REF!</definedName>
    <definedName name="TRNR_c1d1f12632c048cf9902b54b9406d0a9_3_1" hidden="1">#REF!</definedName>
    <definedName name="TRNR_c1d49b821e8e4f3f8cbd41f926d86d4b_94_1" hidden="1">#REF!</definedName>
    <definedName name="TRNR_c1d84aa915594da287d2032ea9760fae_394_3" hidden="1">#REF!</definedName>
    <definedName name="TRNR_c1ed07e088e040328ae55234ae93f136_72_2" hidden="1">#REF!</definedName>
    <definedName name="TRNR_c1f406923f60424b87fec8675ecafaca_312_4" hidden="1">#REF!</definedName>
    <definedName name="TRNR_c205401e5433493497f625bd223063e4_133_1" hidden="1">#REF!</definedName>
    <definedName name="TRNR_c20607c919704e2cb32c8fa24ca1afb9_12_1" hidden="1">#REF!</definedName>
    <definedName name="TRNR_c20ac317ae934ca0b092ea73591832cb_817_2" hidden="1">#REF!</definedName>
    <definedName name="TRNR_c20d67bc09204bd5932c3505bd0e4ae8_792_3" hidden="1">#REF!</definedName>
    <definedName name="TRNR_c210f322d8de40cd8eb21527f6412334_155_2" hidden="1">#REF!</definedName>
    <definedName name="TRNR_c22037e005e947d7ae80c03bf9af7df6_10_1" hidden="1">#REF!</definedName>
    <definedName name="TRNR_c24530b50b824992a7a40ab5d3a53f89_139_2" hidden="1">#REF!</definedName>
    <definedName name="TRNR_c266775b57694662bb4eb5f12471d22c_153_3" hidden="1">#REF!</definedName>
    <definedName name="TRNR_c2752641a77645a790d84f078b836d93_728_2" hidden="1">#REF!</definedName>
    <definedName name="TRNR_c27e1353bd76439388883dc46cac6d4e_16_1" hidden="1">#REF!</definedName>
    <definedName name="TRNR_c28436d5464946509d77873c49dcc278_98_2" hidden="1">#REF!</definedName>
    <definedName name="TRNR_c28e7ca81a8a407b830a5133d012a58d_331_3" hidden="1">#REF!</definedName>
    <definedName name="TRNR_c28f65b94e9a41268fd94b1c284be56b_1156_7" hidden="1">#REF!</definedName>
    <definedName name="TRNR_c29ba0ecd0f94d1f9c6aff0afd403c9b_74_1" hidden="1">#REF!</definedName>
    <definedName name="TRNR_c29fdb6f685f4ae0b2f8c62120c4ce6e_275_4" hidden="1">#REF!</definedName>
    <definedName name="TRNR_c2a9c371cd334a97bc51bf39cc0f39a1_528_2" hidden="1">#REF!</definedName>
    <definedName name="TRNR_c2c0dc936774444f9cdf50a1698e9b14_136_2" hidden="1">#REF!</definedName>
    <definedName name="TRNR_c2d8bfcc50f94df699e514d4c27f93e3_501_4" hidden="1">#REF!</definedName>
    <definedName name="TRNR_c2dce7a1c082492e9b1c0c166d223c2e_2522_2" hidden="1">#REF!</definedName>
    <definedName name="TRNR_c2e364a0f7664ff1890821b548c978e4_153_4" hidden="1">#REF!</definedName>
    <definedName name="TRNR_c2e3ce0599a541568733b7913ba2f5ba_342_3" hidden="1">#REF!</definedName>
    <definedName name="TRNR_c2e8aa35ef9f49d4a91d9ecfe8874648_16_1" hidden="1">#REF!</definedName>
    <definedName name="TRNR_c2f1f45a34394829ae246803a3cb9308_241_2" hidden="1">#REF!</definedName>
    <definedName name="TRNR_c31410a2fd3f4d3cacf1c714e682d63f_540_2" hidden="1">#REF!</definedName>
    <definedName name="TRNR_c34039e545b74c9db3d9506904c3c53f_141_2" hidden="1">#REF!</definedName>
    <definedName name="TRNR_c35c20f39eb54fc89dc6d1a24be3d95c_448_8" hidden="1">#REF!</definedName>
    <definedName name="TRNR_c374af29ae8a4e7791f39a281ab290b6_16_1" hidden="1">#REF!</definedName>
    <definedName name="TRNR_c3897fa8ca3f4e5a9877a2baa59ed46e_133_2" hidden="1">#REF!</definedName>
    <definedName name="TRNR_c39ccae52d0d477a88f599e39682ff47_133_2" hidden="1">#REF!</definedName>
    <definedName name="TRNR_c39d73c60fe14933951bc5d0e87911af_320_4" hidden="1">#REF!</definedName>
    <definedName name="TRNR_c3a3c6bf9da8475eac10faf51a37727d_4505_1" hidden="1">#REF!</definedName>
    <definedName name="TRNR_c3c4cee995004251b547c23d3bdd2dec_391_2" hidden="1">#REF!</definedName>
    <definedName name="TRNR_c3c617b133124405a3bd882d528948de_160_3" hidden="1">#REF!</definedName>
    <definedName name="TRNR_c3cc4b1e7acc49ab9ae0ade6ac133ac9_31_4" hidden="1">#REF!</definedName>
    <definedName name="TRNR_c3cca801fb7b4eb5a659afff5cdf674a_16_1" hidden="1">#REF!</definedName>
    <definedName name="TRNR_c3de24408112428e9aed17f67dc385c4_16_1" hidden="1">#REF!</definedName>
    <definedName name="TRNR_c3df5303531e457c894ae47137a77319_662_6" hidden="1">#REF!</definedName>
    <definedName name="TRNR_c400e6f25fb74220b384bb02e582a7d7_82_4" hidden="1">#REF!</definedName>
    <definedName name="TRNR_c415f14337474dc886529b4bd6000653_16_1" hidden="1">#REF!</definedName>
    <definedName name="TRNR_c41802b95d664c7da3947f1b653aa2ff_537_4" hidden="1">#REF!</definedName>
    <definedName name="TRNR_c43462d993af4d99bee6c4f8c076c65f_13_1" hidden="1">#REF!</definedName>
    <definedName name="TRNR_c43bb1b0ecaf47eb8bc68b282be5c06d_9_1" hidden="1">#REF!</definedName>
    <definedName name="TRNR_c441ff97e1cc4ffa936096e557909543_22_3" hidden="1">#REF!</definedName>
    <definedName name="TRNR_c44efaf4796043d59706486c4c118b33_94_2" hidden="1">#REF!</definedName>
    <definedName name="TRNR_c452cc86053b4d3fb0d6ccb8e1fca0ef_13_1" hidden="1">#REF!</definedName>
    <definedName name="TRNR_c45e09959659449bb942112c7df1f772_13_1" hidden="1">#REF!</definedName>
    <definedName name="TRNR_c46d4be0b2ba4d39bbde547298ff30c2_1086_8" hidden="1">#REF!</definedName>
    <definedName name="TRNR_c46f5f55fa564b34a04edefcb6f87388_455_2" hidden="1">#REF!</definedName>
    <definedName name="TRNR_c470a957bdf3453cab11eb9b7d68aadd_393_3" hidden="1">#REF!</definedName>
    <definedName name="TRNR_c4732fb236bf47899b18b71cf5e9b879_8_1" hidden="1">#REF!</definedName>
    <definedName name="TRNR_c479898666434126b7dc869612639824_13_1" hidden="1">#REF!</definedName>
    <definedName name="TRNR_c4886a93432c416a9703488cd16c33b1_4_3" hidden="1">#REF!</definedName>
    <definedName name="TRNR_c4890d46f83048ffa7810d499ea2cba6_138_1" hidden="1">#REF!</definedName>
    <definedName name="TRNR_c48cc9f8b18241288f448aecda7c4c9c_523_2" hidden="1">#REF!</definedName>
    <definedName name="TRNR_c491069c24824c00b401ef4523bf1471_10_1" hidden="1">#REF!</definedName>
    <definedName name="TRNR_c4a5481f742e4aa4b651fa949886a4bb_241_1" hidden="1">#REF!</definedName>
    <definedName name="TRNR_c4ab51d96ff644dd895cd5ae213fb8f3_267_2" hidden="1">#REF!</definedName>
    <definedName name="TRNR_c4b25a6dca76463ebc9fd3a0c509d298_153_2" hidden="1">#REF!</definedName>
    <definedName name="TRNR_c4b6aaf0026647809ab959fcc1d0971d_8_1" hidden="1">#REF!</definedName>
    <definedName name="TRNR_c4d7a902a65b4820a9120870457199fe_589_2" hidden="1">#REF!</definedName>
    <definedName name="TRNR_c4db2ddb902b44d588a3de584ed7e0bc_579_2" hidden="1">#REF!</definedName>
    <definedName name="TRNR_c52d7e5b96da44dda434128c39e0c404_746_5" hidden="1">#REF!</definedName>
    <definedName name="TRNR_c54d4f1133034d96aba0ecb7541da44b_740_2" hidden="1">#REF!</definedName>
    <definedName name="TRNR_c55382816d154d02986c277a789e1ffe_13_1" hidden="1">#REF!</definedName>
    <definedName name="TRNR_c56bdf53d5064cf891ddcc36623e5d2a_716_2" hidden="1">#REF!</definedName>
    <definedName name="TRNR_c58120c30ba04210a58e33a722b5b1cf_162_1" hidden="1">#REF!</definedName>
    <definedName name="TRNR_c592fa67b456499882b0cfaa7394b1f4_16_1" hidden="1">#REF!</definedName>
    <definedName name="TRNR_c5931e7a3d7d4d688d3bbbcd46ca748c_1448_2" hidden="1">#REF!</definedName>
    <definedName name="TRNR_c5bca59d7fa14f8c879a05e2cba65246_10_1" hidden="1">#REF!</definedName>
    <definedName name="TRNR_c5c9c21c9f6e4520bbae97f49826b448_311_3" hidden="1">#REF!</definedName>
    <definedName name="TRNR_c5d0bcaf3669401fb89e4187ebd02086_423_3" hidden="1">#REF!</definedName>
    <definedName name="TRNR_c5d5d8575c9642e79a33d99b00e32f48_1327_2" hidden="1">#REF!</definedName>
    <definedName name="TRNR_c5f40a7944dc4ef6a87df8a6209404e8_627_2" hidden="1">#REF!</definedName>
    <definedName name="TRNR_c5ffcf81252e4941a144ef53202b82e0_23_4" hidden="1">#REF!</definedName>
    <definedName name="TRNR_c60b9115ca16414d96be863225da2191_9_1" hidden="1">#REF!</definedName>
    <definedName name="TRNR_c620004021b7404f848f8e823a4f4335_9_1" hidden="1">#REF!</definedName>
    <definedName name="TRNR_c6277508ac794287bb33723f12773394_59_1" hidden="1">#REF!</definedName>
    <definedName name="TRNR_c63504afb2264f2cbd8d2adc891bca2e_124_2" hidden="1">#REF!</definedName>
    <definedName name="TRNR_c6376f3514c74a12af2e1da0f205c794_11_1" hidden="1">#REF!</definedName>
    <definedName name="TRNR_c641e031e187427093688285c6bdfb06_544_2" hidden="1">#REF!</definedName>
    <definedName name="TRNR_c644330eb29c45139e7231a5b86abe75_58_7" hidden="1">#REF!</definedName>
    <definedName name="TRNR_c6533ba35d6b4b6a8417441074b71c19_2_2" hidden="1">#REF!</definedName>
    <definedName name="TRNR_c658e4cdc7ca40c48bc437811be52f22_23_3" hidden="1">#REF!</definedName>
    <definedName name="TRNR_c6722ea15331419b85f3f118c93d9258_149_1" hidden="1">#REF!</definedName>
    <definedName name="TRNR_c67553d6b24e4a5f8fa1b90fb3b2c00a_142_1" hidden="1">#REF!</definedName>
    <definedName name="TRNR_c684542cf9cf48feaa54cec227ccb4c9_419_3" hidden="1">#REF!</definedName>
    <definedName name="TRNR_c68701cb2d204f1192f39083a14fd7b4_266_2" hidden="1">#REF!</definedName>
    <definedName name="TRNR_c69e5eebc3f84356b5c4346a64328b25_543_2" hidden="1">#REF!</definedName>
    <definedName name="TRNR_c6a0599c6a3b481c9710e2189aa132b4_34_2" hidden="1">#REF!</definedName>
    <definedName name="TRNR_c6a47e4de3734c54a02fa4eff8f793c9_477_3" hidden="1">#REF!</definedName>
    <definedName name="TRNR_c6a9fc42cf0f4c21aa7dad5b878abbe6_79_1" hidden="1">#REF!</definedName>
    <definedName name="TRNR_c6d42548f5164ed9a4fe235a6ec17848_568_6" hidden="1">#REF!</definedName>
    <definedName name="TRNR_c6e9056a1a934a9ca68f46b4fac8aa8b_294_3" hidden="1">#REF!</definedName>
    <definedName name="TRNR_c6ebe2050bf548919661a6abbb61f65f_381_1" hidden="1">#REF!</definedName>
    <definedName name="TRNR_c717b80f47b24af1a40e7bc4f7450a24_409_3" hidden="1">#REF!</definedName>
    <definedName name="TRNR_c718f3ea54f840ba8dccfe1daee05863_365_3" hidden="1">#REF!</definedName>
    <definedName name="TRNR_c731cbe917fa45b5aab1b694a526596f_162_1" hidden="1">#REF!</definedName>
    <definedName name="TRNR_c759986ea952472284abd38257125487_16_1" hidden="1">#REF!</definedName>
    <definedName name="TRNR_c75c6bcbc3904811aa4881c1bb759ae2_323_2" hidden="1">#REF!</definedName>
    <definedName name="TRNR_c75ed03df73c4d8e8c29ef070b376239_4_1" hidden="1">#REF!</definedName>
    <definedName name="TRNR_c76482b75126443991f3050f1890effd_144_5" hidden="1">#REF!</definedName>
    <definedName name="TRNR_c776833560dc4a529f35cfe04efed3fc_13_1" hidden="1">#REF!</definedName>
    <definedName name="TRNR_c780fda1d6fc42e8971664343d689842_162_2" hidden="1">#REF!</definedName>
    <definedName name="TRNR_c78cece52bb5401cb3148ab07ae4cfe8_560_2" hidden="1">#REF!</definedName>
    <definedName name="TRNR_c78e721aa39d49f585f5f07eba2aaf9f_419_4" hidden="1">#REF!</definedName>
    <definedName name="TRNR_c7921110812b47ad9c5a8a0100fa1578_361_3" hidden="1">#REF!</definedName>
    <definedName name="TRNR_c7b6533fbc954f33b457bc40c5d4b065_62_8" hidden="1">#REF!</definedName>
    <definedName name="TRNR_c7bf6d99989441ad9ddb2dff2e96ebff_1_1" hidden="1">#REF!</definedName>
    <definedName name="TRNR_c7d96b90ca5946af8f2d7c3def927b29_4_1" hidden="1">#REF!</definedName>
    <definedName name="TRNR_c7e950a2c7d04ffda6fa840c638eec27_419_3" hidden="1">#REF!</definedName>
    <definedName name="TRNR_c7ee1f3244b740419d76c5bd32bf61bd_13_1" hidden="1">#REF!</definedName>
    <definedName name="TRNR_c7f3009819944db093458db0edafa632_14_1" hidden="1">#REF!</definedName>
    <definedName name="TRNR_c7fe2475d58548e9a6b4a265972bb65b_600_1" hidden="1">#REF!</definedName>
    <definedName name="TRNR_c81315173ead4316b88627e685332eab_335_2" hidden="1">#REF!</definedName>
    <definedName name="TRNR_c82176fb4df24ba7934aa63d2e86e775_332_3" hidden="1">#REF!</definedName>
    <definedName name="TRNR_c84a5fb20f804ebaa08ce4d60af46192_24_3" hidden="1">#REF!</definedName>
    <definedName name="TRNR_c84f1ffaaea94f5fbf4bfc19d00811ab_331_3" hidden="1">#REF!</definedName>
    <definedName name="TRNR_c857946c3bbb4834b2a08fa8dce51444_16_1" hidden="1">#REF!</definedName>
    <definedName name="TRNR_c86aae16aa4e4cddb58f7e24d40f6d40_528_2" hidden="1">#REF!</definedName>
    <definedName name="TRNR_c895119a48ef46c999e525c49990546a_141_2" hidden="1">#REF!</definedName>
    <definedName name="TRNR_c8c0ab3bf39a412bb8d98c8883f1fad3_23_3" hidden="1">#REF!</definedName>
    <definedName name="TRNR_c8c6d4896fa34e5bb5f42c7896c860f6_147_3" hidden="1">#REF!</definedName>
    <definedName name="TRNR_c8c73f7d85e84efaba29922a276fc603_310_2" hidden="1">#REF!</definedName>
    <definedName name="TRNR_c8d6fc7e723b4452b10d90967feb22e2_509_8" hidden="1">#REF!</definedName>
    <definedName name="TRNR_c8f238f3243349ae9f9a0c92c58fb8df_385_3" hidden="1">#REF!</definedName>
    <definedName name="TRNR_c909172f444d42b48206a81b930a7f63_16_1" hidden="1">#REF!</definedName>
    <definedName name="TRNR_c9109390d48e4b7b942dd7296ac19aab_2691_1" hidden="1">#REF!</definedName>
    <definedName name="TRNR_c9234fdf524e4b4aa90ce5dd8dabc81f_25_3" hidden="1">#REF!</definedName>
    <definedName name="TRNR_c92aa7184148468fa799f5490ca239cf_767_5" hidden="1">#REF!</definedName>
    <definedName name="TRNR_c93246faf1c04f819400a13bd760a089_100_2" hidden="1">#REF!</definedName>
    <definedName name="TRNR_c94885f2b30544508eb616d7036255b0_311_2" hidden="1">#REF!</definedName>
    <definedName name="TRNR_c951b21afc9441a3b3e3438ea8bee069_144_3" hidden="1">#REF!</definedName>
    <definedName name="TRNR_c955f2c0e26f40499be703d728f030d0_122_1" hidden="1">#REF!</definedName>
    <definedName name="TRNR_c9567ab2e4ee4d2fb020225ac5d1c6b9_386_2" hidden="1">#REF!</definedName>
    <definedName name="TRNR_c9b47d507a8845fba0b2bb9044166219_25_3" hidden="1">#REF!</definedName>
    <definedName name="TRNR_c9c1c50935854c8c8b8c86c6955025ad_437_1" hidden="1">#REF!</definedName>
    <definedName name="TRNR_c9e0749272b442f2aa1d1339327d4e2c_10_1" hidden="1">#REF!</definedName>
    <definedName name="TRNR_c9e8704110c14d7e828c568623f132a0_133_2" hidden="1">#REF!</definedName>
    <definedName name="TRNR_ca0d8d07fa9349be88196e64a292f091_787_2" hidden="1">#REF!</definedName>
    <definedName name="TRNR_ca2905a275c74f0d96794991ff509cdf_977_7" hidden="1">#REF!</definedName>
    <definedName name="TRNR_ca3817e9d2354d33b1b0ded069edffab_539_2" hidden="1">#REF!</definedName>
    <definedName name="TRNR_ca51ba568e7c402d98193ad22761e5d3_447_5" hidden="1">#REF!</definedName>
    <definedName name="TRNR_ca71d5ea293d4a7981ef6c121ddb6f05_518_2" hidden="1">#REF!</definedName>
    <definedName name="TRNR_ca74f296f6ea47ce8bacdd8fed1cb025_115_1" hidden="1">#REF!</definedName>
    <definedName name="TRNR_ca7c9e74486c439fba009e2322ced162_122_5" hidden="1">#REF!</definedName>
    <definedName name="TRNR_ca87ce983815447e9a79163b08a3f39b_523_1" hidden="1">#REF!</definedName>
    <definedName name="TRNR_ca8955145edb4dbe8d84d16e9ae04a55_2017_4" hidden="1">#REF!</definedName>
    <definedName name="TRNR_ca9104d11f764cadbafdf32ebba77155_46_11" hidden="1">#REF!</definedName>
    <definedName name="TRNR_ca97a9a30f2940b29028d72bc1adf5b7_671_3" hidden="1">#REF!</definedName>
    <definedName name="TRNR_ca9856b706384603b6016741b0a5593a_335_2" hidden="1">#REF!</definedName>
    <definedName name="TRNR_caa0008630024e8ba27aba276c67dd51_13_1" hidden="1">#REF!</definedName>
    <definedName name="TRNR_cabc981d89214a1884f4e157599f8a07_403_5" hidden="1">#REF!</definedName>
    <definedName name="TRNR_cabe18ffc03a49449374bc4c81897875_440_3" hidden="1">#REF!</definedName>
    <definedName name="TRNR_cac1abd62c074d6da058d2736d91af87_558_2" hidden="1">#REF!</definedName>
    <definedName name="TRNR_cac1b72d67bc4478a8438847fa294fb7_627_2" hidden="1">#REF!</definedName>
    <definedName name="TRNR_cadf67fdd3244b1bbd2069ba586321e8_155_3" hidden="1">#REF!</definedName>
    <definedName name="TRNR_cae489ef5c2d401180b10a8fb29ebdeb_419_2" hidden="1">#REF!</definedName>
    <definedName name="TRNR_caecc4573dcc4e95ad229be9eb972c31_523_2" hidden="1">#REF!</definedName>
    <definedName name="TRNR_cb03e8ce454c4e1e805689f96cd0d0a2_243_1" hidden="1">#REF!</definedName>
    <definedName name="TRNR_cb09d4b8678a43b09bc1e359e750d014_16_1" hidden="1">#REF!</definedName>
    <definedName name="TRNR_cb13506dd7064d44a217326ff3df86f3_283_5" hidden="1">#REF!</definedName>
    <definedName name="TRNR_cb203e1fa5d044609850a44a26505636_1563_2" hidden="1">#REF!</definedName>
    <definedName name="TRNR_cb2945bd2e0946f39947390b8ec263e9_160_2" hidden="1">#REF!</definedName>
    <definedName name="TRNR_cb32e594bfaf46be9be9bb5fca5a9bbe_4_3" hidden="1">#REF!</definedName>
    <definedName name="TRNR_cb58d38c5d6a4a6abd5c49e675d7dec1_153_3" hidden="1">#REF!</definedName>
    <definedName name="TRNR_cb6962cc5a4249258385229de8809863_10_1" hidden="1">#REF!</definedName>
    <definedName name="TRNR_cb72432516fe4dc9b05ced1b73978dbb_144_3" hidden="1">#REF!</definedName>
    <definedName name="TRNR_cb9aeeffc60a4ce2bf7fa24b6e870592_32_4" hidden="1">#REF!</definedName>
    <definedName name="TRNR_cb9c431ee7cb4efdb3b4d318dfcc33e8_13_1" hidden="1">#REF!</definedName>
    <definedName name="TRNR_cbacfe6b87524625abaa2d79db34b338_23_4" hidden="1">#REF!</definedName>
    <definedName name="TRNR_cbb8771f008c4b3aac5dc70285d4ce7b_16_1" hidden="1">#REF!</definedName>
    <definedName name="TRNR_cbc2f0e16f4147b3b561dd4127fe1241_163_2" hidden="1">#REF!</definedName>
    <definedName name="TRNR_cbc35479e78943ad9ee7d23872711460_119_2" hidden="1">#REF!</definedName>
    <definedName name="TRNR_cbd76b1f3527434fbfc25eb3f5cc08a4_14_1" hidden="1">#REF!</definedName>
    <definedName name="TRNR_cbd967c7d4324d7aa044daef5a3b6bce_141_1" hidden="1">#REF!</definedName>
    <definedName name="TRNR_cbed72224c8d40fa94a0091672f72e67_106_2" hidden="1">#REF!</definedName>
    <definedName name="TRNR_cbedd5e2c6f5406c8e6e7d4839930081_7_1" hidden="1">#REF!</definedName>
    <definedName name="TRNR_cbf1290bdce04215bc188977ff078ab7_1217_8" hidden="1">#REF!</definedName>
    <definedName name="TRNR_cc0641342d6e48f9bf163a989bd75999_531_2" hidden="1">#REF!</definedName>
    <definedName name="TRNR_cc0f3f6baea0424c8a24286b1b10bf84_289_2" hidden="1">#REF!</definedName>
    <definedName name="TRNR_cc15de2aabc846b8827198bfd1b85061_14_1" hidden="1">#REF!</definedName>
    <definedName name="TRNR_cc1c6df8277b421691b91eb42cb1fd6a_384_11" hidden="1">#REF!</definedName>
    <definedName name="TRNR_cc1d8866ddff4192b52b2f7c4ed13c48_144_2" hidden="1">#REF!</definedName>
    <definedName name="TRNR_cc1f2d60957d4d8a810f5ebd0917ea1d_13_1" hidden="1">#REF!</definedName>
    <definedName name="TRNR_cc27bb44b9c34a46b5f62fa50028cfc2_311_2" hidden="1">#REF!</definedName>
    <definedName name="TRNR_cc34e24c1b8a4a28a390ac5af1d601ff_339_3" hidden="1">#REF!</definedName>
    <definedName name="TRNR_cc59039a18c241429b3307e6be2dd6d2_545_2" hidden="1">#REF!</definedName>
    <definedName name="TRNR_cc5fb2005e664ef1a62c8a8921db9d64_631_5" hidden="1">#REF!</definedName>
    <definedName name="TRNR_cc83083d4ac849579d6053d8c216e4d8_44_2" hidden="1">#REF!</definedName>
    <definedName name="TRNR_cc94293e90244c15a58d10127ab2fc7e_224_3" hidden="1">#REF!</definedName>
    <definedName name="TRNR_cc9e99a57e7240f5be5605fbe1abe635_16_1" hidden="1">#REF!</definedName>
    <definedName name="TRNR_cca0c3b30d674b568d50bd5e2167d7b6_357_3" hidden="1">#REF!</definedName>
    <definedName name="TRNR_ccc077b380d74baa9e7173c6fde24a16_16_1" hidden="1">#REF!</definedName>
    <definedName name="TRNR_cce9f7fcf36f40bfb1a2f67fbb39d6c0_16_1" hidden="1">#REF!</definedName>
    <definedName name="TRNR_ccff5c30e81a435384d051394633032d_275_2" hidden="1">#REF!</definedName>
    <definedName name="TRNR_cd179a564e044308acbf7e366de9b4b5_133_2" hidden="1">#REF!</definedName>
    <definedName name="TRNR_cd1c80277fd54780990de7e729adf3d0_530_2" hidden="1">#REF!</definedName>
    <definedName name="TRNR_cd2130068bac485cafc5605e7f536711_523_2" hidden="1">#REF!</definedName>
    <definedName name="TRNR_cd28fd3ed0db4901adba954cf76e6eb9_210_7" hidden="1">#REF!</definedName>
    <definedName name="TRNR_cd338501ff4245d5acd48666b40fdf2e_1152_7" hidden="1">#REF!</definedName>
    <definedName name="TRNR_cd345c9f667b4ac0aeadf9301139c7af_25_3" hidden="1">#REF!</definedName>
    <definedName name="TRNR_cd3870f5a3c547e7819c3bfcb5d2819d_429_2" hidden="1">#REF!</definedName>
    <definedName name="TRNR_cd3b3dccbad843c5a7a3785079656987_455_2" hidden="1">#REF!</definedName>
    <definedName name="TRNR_cd3d209523de4e08af75b01bba43c48b_9_1" hidden="1">#REF!</definedName>
    <definedName name="TRNR_cd4645f456eb43b88a18e937b67e9346_65_6" hidden="1">#REF!</definedName>
    <definedName name="TRNR_cd4ce1d2ad4f47a7a1792032ed927b5b_10_1" hidden="1">#REF!</definedName>
    <definedName name="TRNR_cd5343ff20014e168965afbd867aa90c_522_2" hidden="1">#REF!</definedName>
    <definedName name="TRNR_cd537f7cf2b84b5aa2e3d40f154498ca_788_2" hidden="1">#REF!</definedName>
    <definedName name="TRNR_cd5709590c1f48a5a8b3ac64fd4508a5_4_2" hidden="1">#REF!</definedName>
    <definedName name="TRNR_cd625069160f4c61bc69d92d52a1f365_668_2" hidden="1">#REF!</definedName>
    <definedName name="TRNR_cd68e556f58d40a297c7958b023218a3_746_8" hidden="1">#REF!</definedName>
    <definedName name="TRNR_cd906a7727fc48f099cc7c898c55ef8d_16_1" hidden="1">#REF!</definedName>
    <definedName name="TRNR_cda380e5e3b740eb97a61be004fdeaac_156_1" hidden="1">#REF!</definedName>
    <definedName name="TRNR_cdb1cde2bbba44c3a9e891a58e19a929_186_2" hidden="1">#REF!</definedName>
    <definedName name="TRNR_cdb56a773dbe414aa9e3563a0832b9d5_13_1" hidden="1">#REF!</definedName>
    <definedName name="TRNR_cdbe04a36467476c9faf0163abcbfedb_797_2" hidden="1">#REF!</definedName>
    <definedName name="TRNR_cddabc0660b1436dbe944a1571f6a669_11_4" hidden="1">#REF!</definedName>
    <definedName name="TRNR_cdec96086a27471ab384d775850a2c23_366_2" hidden="1">#REF!</definedName>
    <definedName name="TRNR_cdf47c9e7e2b4c988c52b4666452933a_125_2" hidden="1">#REF!</definedName>
    <definedName name="TRNR_ce0bd45949fe4793b829597bc10d3e32_1295_8" hidden="1">#REF!</definedName>
    <definedName name="TRNR_ce0e1c5db66b430d9f459f16272315a3_409_3" hidden="1">#REF!</definedName>
    <definedName name="TRNR_ce164c70758046839210787bd337c0a9_729_2" hidden="1">#REF!</definedName>
    <definedName name="TRNR_ce1b9ac2685243c7a7629722866e8271_1046_2" hidden="1">#REF!</definedName>
    <definedName name="TRNR_ce3df0e983d0449f826765e2e006f04f_1503_2" hidden="1">#REF!</definedName>
    <definedName name="TRNR_ce4f0f126e7841878aca0e5a251ce606_282_2" hidden="1">#REF!</definedName>
    <definedName name="TRNR_ce6e452743f54e6899c3bd1270da921a_100_1" hidden="1">#REF!</definedName>
    <definedName name="TRNR_ce7107e0c9604972bb5ab5e260bcf025_241_1" hidden="1">#REF!</definedName>
    <definedName name="TRNR_ce71809bc6d548db8ac7714b4860e96f_177_4" hidden="1">#REF!</definedName>
    <definedName name="TRNR_cea08f07983649bfa6bb1dd779babda9_382_2" hidden="1">#REF!</definedName>
    <definedName name="TRNR_ceaccc49d3a444eeabb2fbaf777efeba_148_3" hidden="1">#REF!</definedName>
    <definedName name="TRNR_ceb664c788164dbbbd1f300e458ac2d2_16_1" hidden="1">#REF!</definedName>
    <definedName name="TRNR_cebe68c3f4ee48ad85702ab3b05ef8ab_977_8" hidden="1">#REF!</definedName>
    <definedName name="TRNR_cec44a550d614fcbabe262125ae9901b_16_1" hidden="1">#REF!</definedName>
    <definedName name="TRNR_cec6c692f87d4ff3ba6f772f32e4d279_7_1" hidden="1">#REF!</definedName>
    <definedName name="TRNR_ced1e6c7d3164e1585cdf1fe542b82ea_16_1" hidden="1">#REF!</definedName>
    <definedName name="TRNR_cedc3834f5e44cd088b03792fbe4082d_523_2" hidden="1">#REF!</definedName>
    <definedName name="TRNR_cf18c537bfd44e9e93c52696d702d102_16_1" hidden="1">#REF!</definedName>
    <definedName name="TRNR_cf1a38d59363485ebf01faa09e0a4647_16_1" hidden="1">#REF!</definedName>
    <definedName name="TRNR_cf5383a7b1c84373a180b4ecc322cf4b_457_4" hidden="1">#REF!</definedName>
    <definedName name="TRNR_cf5d789d319347748d8ef0782acf1292_311_2" hidden="1">#REF!</definedName>
    <definedName name="TRNR_cf64cc7397324337a2be35d545bc508c_13_1" hidden="1">#REF!</definedName>
    <definedName name="TRNR_cf7eb5e5cc6045f884ed9f03faffa7e1_528_1" hidden="1">#REF!</definedName>
    <definedName name="TRNR_cfaca40b3f984263a135fd3602acda65_412_3" hidden="1">#REF!</definedName>
    <definedName name="TRNR_cfd0771794474cc992b0f886aa4bea38_792_7" hidden="1">#REF!</definedName>
    <definedName name="TRNR_cfd560e518cd4f2089a9a77862787229_7_1" hidden="1">#REF!</definedName>
    <definedName name="TRNR_cfe9c642316749d0983b1b6daf584358_367_3" hidden="1">#REF!</definedName>
    <definedName name="TRNR_d00282053fcb4194aee97ccbab0b2bd2_133_2" hidden="1">#REF!</definedName>
    <definedName name="TRNR_d02c8b17753a41d99dd805878253ba7f_36_1" hidden="1">#REF!</definedName>
    <definedName name="TRNR_d0359b0ce6d64f158dde6e25e7f11dfa_122_5" hidden="1">#REF!</definedName>
    <definedName name="TRNR_d03f44d1bada4733b91bf3c8b8ee2667_10395_2" hidden="1">#REF!</definedName>
    <definedName name="TRNR_d04c1ae8a9d74020a8eb7a810638c252_154_3" hidden="1">#REF!</definedName>
    <definedName name="TRNR_d05bde199b90487396c65e37f980786d_390_1" hidden="1">#REF!</definedName>
    <definedName name="TRNR_d06086dbf03f4332bda9eb2a61f70ab4_35_1" hidden="1">#REF!</definedName>
    <definedName name="TRNR_d06677d0507f472e99b4f4ec2eb2a2ce_122_1" hidden="1">#REF!</definedName>
    <definedName name="TRNR_d06f3034373f454699f69c53b4c09287_312_2" hidden="1">#REF!</definedName>
    <definedName name="TRNR_d06ff94ffa2143df8eb8d06e4c663a6a_438_4" hidden="1">#REF!</definedName>
    <definedName name="TRNR_d095b59de51d45bb86fa3d2442058f26_266_2" hidden="1">#REF!</definedName>
    <definedName name="TRNR_d0983a604ba14372a9bbde5d37ce5763_9_1" hidden="1">#REF!</definedName>
    <definedName name="TRNR_d0991abc974340b9aceb873c02b3d146_152_1" hidden="1">#REF!</definedName>
    <definedName name="TRNR_d0a1319157a64e1cba9baf8d43a6ccb4_246_2" hidden="1">#REF!</definedName>
    <definedName name="TRNR_d0abb3061fe9492db39b08df1059c95a_420_1" hidden="1">#REF!</definedName>
    <definedName name="TRNR_d0b2105652f74d4bbd42ffa39bda3e60_16_1" hidden="1">#REF!</definedName>
    <definedName name="TRNR_d0cae88db2b449c48da6104ef4222ef6_403_5" hidden="1">#REF!</definedName>
    <definedName name="TRNR_d0cf935e40c448cf8d7b7e565ad978cc_14_1" hidden="1">#REF!</definedName>
    <definedName name="TRNR_d0d3acb402074dddb4aef843222c9b74_275_2" hidden="1">#REF!</definedName>
    <definedName name="TRNR_d0d7de3d8cfc44559b5c82e738f07007_94_2" hidden="1">#REF!</definedName>
    <definedName name="TRNR_d0d8fb9a7fec4347a7bde80089e7aec5_975_5" hidden="1">#REF!</definedName>
    <definedName name="TRNR_d0e2787cfb074829be3f4e8e5d236d28_1306_6" hidden="1">#REF!</definedName>
    <definedName name="TRNR_d0edf6e744b84aeeb5c65425678247d8_209_1" hidden="1">#REF!</definedName>
    <definedName name="TRNR_d104cb05f0cc401a81c1853332295d64_153_4" hidden="1">#REF!</definedName>
    <definedName name="TRNR_d112b3f45e864e0983be8e1ebe07292a_817_2" hidden="1">#REF!</definedName>
    <definedName name="TRNR_d11915e924da48698d00d25542c737a6_242_2" hidden="1">#REF!</definedName>
    <definedName name="TRNR_d14706835ee5415b90f5f765ce9157c6_13_1" hidden="1">#REF!</definedName>
    <definedName name="TRNR_d14c7601713e446fb393bc31b8271a16_492_2" hidden="1">#REF!</definedName>
    <definedName name="TRNR_d15c24ec13ef43f99cfc07fc9d5c01c6_575_2" hidden="1">#REF!</definedName>
    <definedName name="TRNR_d166f82ad09d4940acbfa5c5010bc132_152_2" hidden="1">#REF!</definedName>
    <definedName name="TRNR_d168efc5f7674b12972de03b53fbf807_9_1" hidden="1">#REF!</definedName>
    <definedName name="TRNR_d16dd7bbd69c4fca90b109d21a25e710_322_2" hidden="1">#REF!</definedName>
    <definedName name="TRNR_d1847ce9930d46d5bffef45620848fcd_16_2" hidden="1">#REF!</definedName>
    <definedName name="TRNR_d19202aa425a48ecb4c6a791f5272d06_335_2" hidden="1">#REF!</definedName>
    <definedName name="TRNR_d19a71f257a94853b71e00f1b45b227b_13_1" hidden="1">#REF!</definedName>
    <definedName name="TRNR_d1a5920784594d37bd77e25e29971a97_630_2" hidden="1">#REF!</definedName>
    <definedName name="TRNR_d1ac660856a9441c9339e5c822308fce_162_1" hidden="1">#REF!</definedName>
    <definedName name="TRNR_d1accafce8de478cb409ab6bfe4b082c_231_2" hidden="1">#REF!</definedName>
    <definedName name="TRNR_d1adaddc7c984fff9f2df9d0b2a6101a_369_1" hidden="1">#REF!</definedName>
    <definedName name="TRNR_d1afd3182e7547a9b1b1023d642675bd_5_0" hidden="1">#REF!</definedName>
    <definedName name="TRNR_d1bf903426e1402d805c42af03e7b8b3_935_8" hidden="1">#REF!</definedName>
    <definedName name="TRNR_d20211b09da541ad8e0226ffb39c3fb2_184_2" hidden="1">#REF!</definedName>
    <definedName name="TRNR_d21e5416c2ca48018f51f05c88ad9104_725_2" hidden="1">#REF!</definedName>
    <definedName name="TRNR_d23bebe21367408d8247457fe3042f34_23_4" hidden="1">#REF!</definedName>
    <definedName name="TRNR_d24e9141e0ac41bb950bbb0e6140d6cf_369_5" hidden="1">#REF!</definedName>
    <definedName name="TRNR_d25376ec902347eb818b72b67657d3c1_53_6" hidden="1">#REF!</definedName>
    <definedName name="TRNR_d261fa74a2414ec28efafeef7918d9a9_393_2" hidden="1">#REF!</definedName>
    <definedName name="TRNR_d2676fc33b75425ca0b915a37f769614_203_2" hidden="1">#REF!</definedName>
    <definedName name="TRNR_d26a1956a8ac4196aeb09ff0b1012677_222_3" hidden="1">#REF!</definedName>
    <definedName name="TRNR_d275a341bc514a0982e32f0c6f4ff2a3_12_2" hidden="1">#REF!</definedName>
    <definedName name="TRNR_d280a7b4a020402db6b4084f2071255e_527_1" hidden="1">#REF!</definedName>
    <definedName name="TRNR_d281363b292e4adba8a4e81bd312df6a_323_2" hidden="1">#REF!</definedName>
    <definedName name="TRNR_d2ccc1b35e9d4a6c877c96ebd8c8de08_149_1" hidden="1">#REF!</definedName>
    <definedName name="TRNR_d2e522c18af24c24bece2d1e1252a24f_474_3" hidden="1">#REF!</definedName>
    <definedName name="TRNR_d2ea2fcdab254f12bf7e4078690b84a5_776_2" hidden="1">#REF!</definedName>
    <definedName name="TRNR_d2ea9eb2e3ad4dffaf53d09b2584f218_81_6" hidden="1">#REF!</definedName>
    <definedName name="TRNR_d2f4c6dab45f4b4ca4be61618b8455f4_294_5" hidden="1">#REF!</definedName>
    <definedName name="TRNR_d303d499960e4958b35e708436f59cd4_38_1" hidden="1">#REF!</definedName>
    <definedName name="TRNR_d3224ba6c9dc4e04ba9b3e5e299e6966_13_1" hidden="1">#REF!</definedName>
    <definedName name="TRNR_d340cbc806654304bdd650ee5cfb2861_311_2" hidden="1">#REF!</definedName>
    <definedName name="TRNR_d349036bc05f493faf02af747a2f1136_455_2" hidden="1">#REF!</definedName>
    <definedName name="TRNR_d38281136cfa448795f356c2e5b2585c_1046_6" hidden="1">#REF!</definedName>
    <definedName name="TRNR_d39e301fe18a41098c943cfec3191647_561_2" hidden="1">#REF!</definedName>
    <definedName name="TRNR_d3a20059fd734c63a28befe55af25fe4_13_1" hidden="1">#REF!</definedName>
    <definedName name="TRNR_d3cba16b0a0b4b7c93bcee1350cc5afa_110_1" hidden="1">#REF!</definedName>
    <definedName name="TRNR_d3dcd64b71034610a32d95110dedb513_107_2" hidden="1">#REF!</definedName>
    <definedName name="TRNR_d3de0e4a74354072a3e6331fa1bb656f_398_2" hidden="1">#REF!</definedName>
    <definedName name="TRNR_d3ec72f3cf9d45b8a9da849482b812e5_10_1" hidden="1">#REF!</definedName>
    <definedName name="TRNR_d40b1b8dd1e5412887d3f584af8d9b2b_154_3" hidden="1">#REF!</definedName>
    <definedName name="TRNR_d40f7da66a99486397a7efef38fb3390_527_2" hidden="1">#REF!</definedName>
    <definedName name="TRNR_d41d3ee34d1d4c5bb364aaed28f6362b_10_1" hidden="1">#REF!</definedName>
    <definedName name="TRNR_d441938c939548aea7c3e2b3f068add3_749_2" hidden="1">#REF!</definedName>
    <definedName name="TRNR_d455c35411124552a87d1454f9d9bcf4_523_2" hidden="1">#REF!</definedName>
    <definedName name="TRNR_d46be69d0e174d96bca7ac40e85ba10f_2781_2" hidden="1">#REF!</definedName>
    <definedName name="TRNR_d4794ce67c894da5acf2d381f27c54e2_1_1" hidden="1">#REF!</definedName>
    <definedName name="TRNR_d47ea456229947c89b3ec9804bdba5e0_715_2" hidden="1">#REF!</definedName>
    <definedName name="TRNR_d47eb8719ecf4ef888905d14699dc08f_181_1" hidden="1">#REF!</definedName>
    <definedName name="TRNR_d47ee596b4a34d12a2357dfaac78ea09_294_5" hidden="1">#REF!</definedName>
    <definedName name="TRNR_d4a0856cba484c75aa274f6b9bed6a44_365_2" hidden="1">#REF!</definedName>
    <definedName name="TRNR_d4a75e41fff24949980eedf5921656a8_349_4" hidden="1">#REF!</definedName>
    <definedName name="TRNR_d4b043c22c5d4f7f9860927654bc6ebe_16_1" hidden="1">#REF!</definedName>
    <definedName name="TRNR_d4bb097d6ce54cddb88e7081f74e178c_349_4" hidden="1">#REF!</definedName>
    <definedName name="TRNR_d4c6991a30e849a8b14a9be01e7484d9_13_1" hidden="1">#REF!</definedName>
    <definedName name="TRNR_d4d308d7a5404160be700d6fce55d0f0_45_2" hidden="1">#REF!</definedName>
    <definedName name="TRNR_d4d70285796a4bb6b4f8c563880cb97a_424_1" hidden="1">#REF!</definedName>
    <definedName name="TRNR_d4df2e412960402ab0b163fbd1e40c14_514_1" hidden="1">#REF!</definedName>
    <definedName name="TRNR_d4e58d7a27bb4f8e94852a09c9031f70_13_1" hidden="1">#REF!</definedName>
    <definedName name="TRNR_d4fc09dab6ba4522840d3776c56f27f7_562_2" hidden="1">#REF!</definedName>
    <definedName name="TRNR_d5008002db60483fa26519908b591468_13_1" hidden="1">#REF!</definedName>
    <definedName name="TRNR_d5127f88bb9141ff9b46269000e299ae_514_1" hidden="1">#REF!</definedName>
    <definedName name="TRNR_d52302f15aa14003aedd8e9f6ecf75d3_239_2" hidden="1">#REF!</definedName>
    <definedName name="TRNR_d5251a42dc544bb69f5e8671dc12c067_26_4" hidden="1">#REF!</definedName>
    <definedName name="TRNR_d529953623e145c996e8d4058e5705d6_232_3" hidden="1">#REF!</definedName>
    <definedName name="TRNR_d52fb5ffc3df4bdd8f97d92e345d80b1_455_2" hidden="1">#REF!</definedName>
    <definedName name="TRNR_d52ff1fb03d84c10bf1f9cc70172d403_163_2" hidden="1">#REF!</definedName>
    <definedName name="TRNR_d5439934544a43b5af14dbbe5ca1dd0c_5_3" hidden="1">#REF!</definedName>
    <definedName name="TRNR_d5486fdb048e423096ce6a2fd208b017_7_1" hidden="1">#REF!</definedName>
    <definedName name="TRNR_d5541ac85f034a1eba209a346a6ccc3f_9_1" hidden="1">#REF!</definedName>
    <definedName name="TRNR_d56819df1df54913a81b6c8584cb4631_9_1" hidden="1">#REF!</definedName>
    <definedName name="TRNR_d56902ed0355457f9d8b79c33650e1e2_536_2" hidden="1">#REF!</definedName>
    <definedName name="TRNR_d576f13f5171445cbec5bc012ed0a1eb_243_1" hidden="1">#REF!</definedName>
    <definedName name="TRNR_d57f76684cea43bcae8ca38ea91d0705_14_1" hidden="1">#REF!</definedName>
    <definedName name="TRNR_d58764f5f1384876a6360028f1e73a17_162_1" hidden="1">#REF!</definedName>
    <definedName name="TRNR_d58fe04f0de74fb9844e1013fe310db2_1302_8" hidden="1">#REF!</definedName>
    <definedName name="TRNR_d595d139fef84f9a83570fb306639cca_37_1" hidden="1">#REF!</definedName>
    <definedName name="TRNR_d59d1ee6856a4182b89e8095b4b77108_223_3" hidden="1">#REF!</definedName>
    <definedName name="TRNR_d5a8403a804546048a0ed0ec4ef71563_369_2" hidden="1">#REF!</definedName>
    <definedName name="TRNR_d5b5d02c065446028c5d6d5de56850ef_24_3" hidden="1">#REF!</definedName>
    <definedName name="TRNR_d5bddc740ae742efa1711da907aa7cdf_378_6" hidden="1">#REF!</definedName>
    <definedName name="TRNR_d5e6b4ff814849e6bf4d06926ca70f95_553_4" hidden="1">#REF!</definedName>
    <definedName name="TRNR_d5ea1d635ec248ce8ca6f5cab4741f68_122_2" hidden="1">#REF!</definedName>
    <definedName name="TRNR_d5fa130e065c4812949a1a0e41f54d7f_306_2" hidden="1">#REF!</definedName>
    <definedName name="TRNR_d5fdc04c9e5040488ecc7b92207dc9ff_7_1" hidden="1">#REF!</definedName>
    <definedName name="TRNR_d5ff5500f0d24aa88dde4cf22145710e_16_1" hidden="1">#REF!</definedName>
    <definedName name="TRNR_d6055601cf454b399900891a39bf828d_65_3" hidden="1">#REF!</definedName>
    <definedName name="TRNR_d6120f99dad9432fb05416a02d8d74f8_204_2" hidden="1">#REF!</definedName>
    <definedName name="TRNR_d61656cba09f436f960f7907e29645a1_131_1" hidden="1">#REF!</definedName>
    <definedName name="TRNR_d6174149d4d04bc3bdf20a79298dd16f_538_1" hidden="1">#REF!</definedName>
    <definedName name="TRNR_d62130fa3ff34ab0bebfcf574f5f207d_648_2" hidden="1">#REF!</definedName>
    <definedName name="TRNR_d62397350e5f48fa89a56b2d9cc1aa1a_540_1" hidden="1">#REF!</definedName>
    <definedName name="TRNR_d6283c67597944d39f73b32601c33f0a_94_1" hidden="1">#REF!</definedName>
    <definedName name="TRNR_d635d3f2637444deb7cfc43eae64d555_154_4" hidden="1">#REF!</definedName>
    <definedName name="TRNR_d6450c6509d942ed906667eda9e72686_8_2" hidden="1">#REF!</definedName>
    <definedName name="TRNR_d65cec2cdfad4ea196703f5233962eae_16_1" hidden="1">#REF!</definedName>
    <definedName name="TRNR_d682ad1c7f714da18d8a9614f266b19a_13_1" hidden="1">#REF!</definedName>
    <definedName name="TRNR_d683abd1fe9b4361bcde7c792105f75f_847_8" hidden="1">#REF!</definedName>
    <definedName name="TRNR_d69e80cf4ec8405aaf10e03b2b297d7c_360_3" hidden="1">#REF!</definedName>
    <definedName name="TRNR_d69f58f80a9d4c8d943fbbe406f1e551_163_2" hidden="1">#REF!</definedName>
    <definedName name="TRNR_d6b1cce0e52e462e91169da90247bd95_244_4" hidden="1">#REF!</definedName>
    <definedName name="TRNR_d6c9757fdd824020a31fc8a2e4b2671f_174_2" hidden="1">#REF!</definedName>
    <definedName name="TRNR_d6c9c3deeb8a4e8c8e0c4a179acf67ee_1152_8" hidden="1">#REF!</definedName>
    <definedName name="TRNR_d6cc748c26554d46935d66b37ba63ca9_351_2" hidden="1">#REF!</definedName>
    <definedName name="TRNR_d6e6d7487ba6408eb6dc910633546183_536_3" hidden="1">#REF!</definedName>
    <definedName name="TRNR_d706bd310da148608f0a85987bf4fadf_215_2" hidden="1">#REF!</definedName>
    <definedName name="TRNR_d7124b17a4dd40d594463aa4e2665286_148_1" hidden="1">#REF!</definedName>
    <definedName name="TRNR_d7474e9ce5c848c4a14364df2e51b36e_91_2" hidden="1">#REF!</definedName>
    <definedName name="TRNR_d76394fafb9a46688a132bb116373dc5_377_1" hidden="1">#REF!</definedName>
    <definedName name="TRNR_d78c1a1b9059448c9fba5aca353fa257_492_1" hidden="1">#REF!</definedName>
    <definedName name="TRNR_d78ddfdd8e384ed0aa985d0dd264325b_16_1" hidden="1">#REF!</definedName>
    <definedName name="TRNR_d7a247ddb4fb4b528db9b073261a5137_23_4" hidden="1">#REF!</definedName>
    <definedName name="TRNR_d7b7e30ac488444781b88a3aea2313c8_304_2" hidden="1">#REF!</definedName>
    <definedName name="TRNR_d7bb8cce722f4b9da31911275bdb0a3b_792_2" hidden="1">#REF!</definedName>
    <definedName name="TRNR_d7bc3af5d2ed4195a0e59789e26ebdff_13_1" hidden="1">#REF!</definedName>
    <definedName name="TRNR_d7be6aa8d7444cec979be7c622fe4edf_183_3" hidden="1">#REF!</definedName>
    <definedName name="TRNR_d7c7c85087364d34b7c9f3a84c3d6d69_157_2" hidden="1">#REF!</definedName>
    <definedName name="TRNR_d7cf846a5a5643049b7cf12d01defc19_584_2" hidden="1">#REF!</definedName>
    <definedName name="TRNR_d7ea76dfeccd4ae6b69205e8be9780c5_9_1" hidden="1">#REF!</definedName>
    <definedName name="TRNR_d7f6ee32486c44bfb09bf0f9126ed426_217_1" hidden="1">#REF!</definedName>
    <definedName name="TRNR_d7f7372109044fc1b105b2f0463ed555_151_1" hidden="1">#REF!</definedName>
    <definedName name="TRNR_d7fdea58295b483fa0c77baacb9cff06_241_3" hidden="1">#REF!</definedName>
    <definedName name="TRNR_d80b2fbd1a3d4014af8a7569a223776b_470_1" hidden="1">#REF!</definedName>
    <definedName name="TRNR_d80ba81c879847d293daf139faa9b77c_16_1" hidden="1">#REF!</definedName>
    <definedName name="TRNR_d811ce6d1f464b81bbba1aa66a7ba460_540_3" hidden="1">#REF!</definedName>
    <definedName name="TRNR_d82450c6bd174f558dc0e1d9af1fdab9_129_1" hidden="1">#REF!</definedName>
    <definedName name="TRNR_d82647bd31464f33886692e691e75c02_3744_2" hidden="1">#REF!</definedName>
    <definedName name="TRNR_d829dc9688e14d00bd650335eed6fe89_13_1" hidden="1">#REF!</definedName>
    <definedName name="TRNR_d82a338400ad4dfeb8efc900e861023e_65_6" hidden="1">#REF!</definedName>
    <definedName name="TRNR_d82cba94e1994beea7e9e962e9ba6bc9_1324_8" hidden="1">#REF!</definedName>
    <definedName name="TRNR_d830c70356924ed4b73aba7dfd5963c6_203_2" hidden="1">#REF!</definedName>
    <definedName name="TRNR_d85984d7dc2148fb8e0cac7b3bbe2ecf_719_2" hidden="1">#REF!</definedName>
    <definedName name="TRNR_d85b3000d1ef444ab4af27f421dad49b_52_1" hidden="1">#REF!</definedName>
    <definedName name="TRNR_d86d354773d54c2ba22f41a331bb1b46_16_1" hidden="1">#REF!</definedName>
    <definedName name="TRNR_d87134f6bccc47dcb123b092db771680_430_2" hidden="1">#REF!</definedName>
    <definedName name="TRNR_d879676f5b5d457fb4a712bfce003b54_11_2" hidden="1">#REF!</definedName>
    <definedName name="TRNR_d87cc61991f5430e97917accc7964778_42_6" hidden="1">#REF!</definedName>
    <definedName name="TRNR_d8817b1746ca4b5f9798a67d36e88b0d_21_2" hidden="1">#REF!</definedName>
    <definedName name="TRNR_d88e354e78c547bc82936de22eeb32cc_525_1" hidden="1">#REF!</definedName>
    <definedName name="TRNR_d8accaa47a3d4fa3b72e0e7edce6ec30_103_2" hidden="1">#REF!</definedName>
    <definedName name="TRNR_d8ce70d506b74bd0be94dd44e6403e8a_544_2" hidden="1">#REF!</definedName>
    <definedName name="TRNR_d8db031b556c471f9b082ea8cdba2b3f_1_1" hidden="1">#REF!</definedName>
    <definedName name="TRNR_d8eec28c7b204475bc478709eb5c8bee_452_4" hidden="1">#REF!</definedName>
    <definedName name="TRNR_d8ef34b27ec845499e7a8bb157025eca_575_2" hidden="1">#REF!</definedName>
    <definedName name="TRNR_d90e26357ce84de898de99ab5a431d6c_290_3" hidden="1">#REF!</definedName>
    <definedName name="TRNR_d90f8790d8e146128302ea787b42e5cc_216_3" hidden="1">#REF!</definedName>
    <definedName name="TRNR_d9137d8912c44044bbcc93bea37d80a5_231_2" hidden="1">#REF!</definedName>
    <definedName name="TRNR_d9201ac9c8404139b5c51a8984089d03_377_1" hidden="1">#REF!</definedName>
    <definedName name="TRNR_d93d77e31ec0480aac6e41322a61cdd7_336_2" hidden="1">#REF!</definedName>
    <definedName name="TRNR_d94e565b52c2432e90afa00b2d4a1fdc_267_2" hidden="1">#REF!</definedName>
    <definedName name="TRNR_d9518246c8c542f89e54356e078d6682_374_6" hidden="1">#REF!</definedName>
    <definedName name="TRNR_d955a5dcf14748a38c8ae8e8f3cfba15_16_1" hidden="1">#REF!</definedName>
    <definedName name="TRNR_d968c9fa394642f4973bf63c5e187e57_275_4" hidden="1">#REF!</definedName>
    <definedName name="TRNR_d96f3d706ed74298817a5fe0d12001f3_6_1" hidden="1">#REF!</definedName>
    <definedName name="TRNR_d97ba59d6a2140b18d6a56476359d500_1199_8" hidden="1">#REF!</definedName>
    <definedName name="TRNR_d9a575a0278d4548b0f482ebe5e22356_119_2" hidden="1">#REF!</definedName>
    <definedName name="TRNR_d9aa4f4d2c284a098dd5a81517381070_35_1" hidden="1">#REF!</definedName>
    <definedName name="TRNR_d9b6dc9bfa33471d90f78be5e727529c_207_3" hidden="1">#REF!</definedName>
    <definedName name="TRNR_d9c7592917d24320af2b21d608ba27e7_349_4" hidden="1">#REF!</definedName>
    <definedName name="TRNR_d9cb9eb3db8a4639b890333889eb2743_289_2" hidden="1">#REF!</definedName>
    <definedName name="TRNR_d9cc53f9c6804391930a39f1ac560d9d_378_8" hidden="1">#REF!</definedName>
    <definedName name="TRNR_d9cfc73db7914c7d934741f4d54dff9a_10_1" hidden="1">#REF!</definedName>
    <definedName name="TRNR_d9d4e8e17a5646a283887c0f9f797119_157_1" hidden="1">#REF!</definedName>
    <definedName name="TRNR_da04052401fe49f190fe1eaeca1e2c13_244_4" hidden="1">#REF!</definedName>
    <definedName name="TRNR_da095f7199184955980fa20a7a418c70_338_2" hidden="1">#REF!</definedName>
    <definedName name="TRNR_da10e916025c4142913df7ba26df550a_529_1" hidden="1">#REF!</definedName>
    <definedName name="TRNR_da17121eabf645c2932a4ee19908085d_26_1" hidden="1">#REF!</definedName>
    <definedName name="TRNR_da2eb60d5c9a435bb445833fed845f46_420_3" hidden="1">#REF!</definedName>
    <definedName name="TRNR_da3c1bbae18340009ac581738346149e_35_1" hidden="1">#REF!</definedName>
    <definedName name="TRNR_da4c52376078494dac38faf25d4e2074_200_3" hidden="1">#REF!</definedName>
    <definedName name="TRNR_da527d78b279481faa02eb6aefc475b7_6_2" hidden="1">#REF!</definedName>
    <definedName name="TRNR_da56ecd3aeb94d9bbaad6813601bfe0b_122_2" hidden="1">#REF!</definedName>
    <definedName name="TRNR_da6ee5b8756a45a7a0625b4e14c0153d_13_1" hidden="1">#REF!</definedName>
    <definedName name="TRNR_da860380587249649bda68a64a4e509a_150_3" hidden="1">#REF!</definedName>
    <definedName name="TRNR_da8a826a0e444d9eb8b70d7468d7c115_140_2" hidden="1">#REF!</definedName>
    <definedName name="TRNR_daaaf73d2f974490b407a8aa9e9c155a_584_2" hidden="1">#REF!</definedName>
    <definedName name="TRNR_dabd884edf654e8b8082be77071e02ac_1295_5" hidden="1">#REF!</definedName>
    <definedName name="TRNR_dac08217de6641c2807f95f7353b808a_9_1" hidden="1">#REF!</definedName>
    <definedName name="TRNR_dac2baeabe884773979343ebf5e4dabd_161_2" hidden="1">#REF!</definedName>
    <definedName name="TRNR_dacf02623cea4ca9923724609c676c31_38_1" hidden="1">#REF!</definedName>
    <definedName name="TRNR_dad18994e77b4fa5ac2f363e4eee8d00_157_2" hidden="1">#REF!</definedName>
    <definedName name="TRNR_dada1da65f44413ca09917c845aa0a8f_299_5" hidden="1">#REF!</definedName>
    <definedName name="TRNR_dadd159cce8748e4a7cfb24262bdcce5_62_8" hidden="1">#REF!</definedName>
    <definedName name="TRNR_dae2cb77e78e4496bca759485d1a7b33_26_5" hidden="1">#REF!</definedName>
    <definedName name="TRNR_daeb43a0cd034675b863ac992dbe94d2_428_1" hidden="1">#REF!</definedName>
    <definedName name="TRNR_daf0b9f678854057a28b3c8acbc481eb_569_2" hidden="1">#REF!</definedName>
    <definedName name="TRNR_dafa906b7dfe4346bd3fd80f4e32fd6b_133_2" hidden="1">#REF!</definedName>
    <definedName name="TRNR_db05627c07454ad48f35882421d983d3_538_1" hidden="1">#REF!</definedName>
    <definedName name="TRNR_db0971e56a1a435fab1778c824a85160_237_2" hidden="1">#REF!</definedName>
    <definedName name="TRNR_db0b04dd13d64f1ba6eae74ac4af1f81_7_16" hidden="1">#REF!</definedName>
    <definedName name="TRNR_db0fa42b885c4e8db38d38ed14c7ef77_421_4" hidden="1">#REF!</definedName>
    <definedName name="TRNR_db1477d5d70f4eef8c11aafd015c872e_374_6" hidden="1">#REF!</definedName>
    <definedName name="TRNR_db19736a10894b12a990d912c7bb726f_366_2" hidden="1">#REF!</definedName>
    <definedName name="TRNR_db330be76fa843d185f3e83d1a916df6_65_5" hidden="1">#REF!</definedName>
    <definedName name="TRNR_db3c7a63a1d145e191681d3170ce1352_570_2" hidden="1">#REF!</definedName>
    <definedName name="TRNR_db4cc202259c4f2ba03867b88cc5dabc_36_1" hidden="1">#REF!</definedName>
    <definedName name="TRNR_db4eae3eb385431bbbb69b3c8e188551_162_1" hidden="1">#REF!</definedName>
    <definedName name="TRNR_db570a73459e4bb0a138e9158d755136_385_3" hidden="1">#REF!</definedName>
    <definedName name="TRNR_db806191c0284ce6a257080795f2ad11_309_2" hidden="1">#REF!</definedName>
    <definedName name="TRNR_db84f7dd16be48c1be7f313853251133_381_1" hidden="1">#REF!</definedName>
    <definedName name="TRNR_db8fb02f3dd14affa090082d4f752c8d_479_2" hidden="1">#REF!</definedName>
    <definedName name="TRNR_db98120a003d492c917242778880968d_10_1" hidden="1">#REF!</definedName>
    <definedName name="TRNR_dbb827b2c2d544a78beff8c3481a410e_134_1" hidden="1">#REF!</definedName>
    <definedName name="TRNR_dbc8c2c6f36c42bfbac6c6a7f8bd7659_422_4" hidden="1">#REF!</definedName>
    <definedName name="TRNR_dbe2c983c99248d799935c95c0ae0913_474_4" hidden="1">#REF!</definedName>
    <definedName name="TRNR_dc04c48e01324e7ca22b7e0d1de951cf_62_4" hidden="1">#REF!</definedName>
    <definedName name="TRNR_dc0fc0cc8ca54361b2c9b3a97dfc31cb_121_2" hidden="1">#REF!</definedName>
    <definedName name="TRNR_dc114bc0a9f34fcaa79dc18dee00b078_755_2" hidden="1">#REF!</definedName>
    <definedName name="TRNR_dc16eac55a524cf89d55f5ad3d56f996_202_2" hidden="1">#REF!</definedName>
    <definedName name="TRNR_dc21776d2fcb47c685936c744d8f52b8_10_1" hidden="1">#REF!</definedName>
    <definedName name="TRNR_dc2776f7cebe4ac3ae4ff30bf3d1fce3_9_1" hidden="1">#REF!</definedName>
    <definedName name="TRNR_dc2d228a97ff46c1b937f5827ecbd29c_23_4" hidden="1">#REF!</definedName>
    <definedName name="TRNR_dc35f1ed64db4b08b4ab444234c17f0b_756_5" hidden="1">#REF!</definedName>
    <definedName name="TRNR_dc39bd535924439ba4e4d97c584229d5_569_7" hidden="1">#REF!</definedName>
    <definedName name="TRNR_dc3c06fd676240f585b6584a4d0aa49a_600_1" hidden="1">#REF!</definedName>
    <definedName name="TRNR_dc3e30bee51f476cb1c6b2cc26dfd860_262_1" hidden="1">#REF!</definedName>
    <definedName name="TRNR_dc485e94b9354fa781a7f3acd6fb39c3_133_2" hidden="1">#REF!</definedName>
    <definedName name="TRNR_dc4cf123ae6740fc82123c84ec454972_4_3" hidden="1">#REF!</definedName>
    <definedName name="TRNR_dc54bba0ed71420b9bf26e740dd76651_181_2" hidden="1">#REF!</definedName>
    <definedName name="TRNR_dc6acfd52dfb4cd794008ff6e182ce7a_356_2" hidden="1">#REF!</definedName>
    <definedName name="TRNR_dc748a151e8f4ba6bd3c893cf320b67a_312_2" hidden="1">#REF!</definedName>
    <definedName name="TRNR_dc786e2cfd0742329737aa9edaa4f62b_43_1" hidden="1">#REF!</definedName>
    <definedName name="TRNR_dc7c4c97058d47908f65450e362bf391_209_1" hidden="1">#REF!</definedName>
    <definedName name="TRNR_dc89b1b390874235a9f5507d0cc6f7b8_315_3" hidden="1">#REF!</definedName>
    <definedName name="TRNR_dc8c5f1c5d0e4b5b8a7b26133ba72cb3_367_4" hidden="1">#REF!</definedName>
    <definedName name="TRNR_dcb58de516e7403b9db6623c4c166eae_792_2" hidden="1">#REF!</definedName>
    <definedName name="TRNR_dcc327549f0345ba8b3a695138a9cbca_539_2" hidden="1">#REF!</definedName>
    <definedName name="TRNR_dcdf173e267b411190996a95eeb82658_203_2" hidden="1">#REF!</definedName>
    <definedName name="TRNR_dcecb5c1a08948a797dbdf09b1660e71_13_1" hidden="1">#REF!</definedName>
    <definedName name="TRNR_dceee31e272c4b08bb948bec3866d11b_377_1" hidden="1">#REF!</definedName>
    <definedName name="TRNR_dd28a5c5cd77440a9f0486c222185c2f_525_2" hidden="1">#REF!</definedName>
    <definedName name="TRNR_dd2d8a6efb3a48bdb9f44b38e223c724_241_4" hidden="1">#REF!</definedName>
    <definedName name="TRNR_dd3c516a018548bf9d0905b9f27ccb41_522_2" hidden="1">#REF!</definedName>
    <definedName name="TRNR_dd4a03c10c2747119111b4abe9ade9cc_149_1" hidden="1">#REF!</definedName>
    <definedName name="TRNR_dd51cabec19e486581ced7052bb03bfe_267_2" hidden="1">#REF!</definedName>
    <definedName name="TRNR_dd5ff6ff01b84cd6b168df026f2926ba_9_1" hidden="1">#REF!</definedName>
    <definedName name="TRNR_dd62b9a0ff3c43588fd8e98b22870d0d_419_2" hidden="1">#REF!</definedName>
    <definedName name="TRNR_dd687f666168444eac140fa55fa9083e_406_2" hidden="1">#REF!</definedName>
    <definedName name="TRNR_dd87fb9a27c148418d8f1e83f1bc5a19_427_2" hidden="1">#REF!</definedName>
    <definedName name="TRNR_dd9b62fe40184153a4bea1367e374dfe_746_5" hidden="1">#REF!</definedName>
    <definedName name="TRNR_dda017909dfb44dd8c069bccf1ea73d6_421_4" hidden="1">#REF!</definedName>
    <definedName name="TRNR_ddaf16c28ac646959935d42d671d3fa5_140_1" hidden="1">#REF!</definedName>
    <definedName name="TRNR_ddd0781c89a44547a3bcfeea1b87e330_13_1" hidden="1">#REF!</definedName>
    <definedName name="TRNR_ddd2eb3c25b24b5c80bf4dec63e3c441_568_6" hidden="1">#REF!</definedName>
    <definedName name="TRNR_dddb6e4c7871484288de817bc060c317_13_1" hidden="1">#REF!</definedName>
    <definedName name="TRNR_dddbfc36520d4d6b867f56a20ff6acc7_403_4" hidden="1">#REF!</definedName>
    <definedName name="TRNR_dded39d24fb04ab5b9e276470a482a60_13_1" hidden="1">#REF!</definedName>
    <definedName name="TRNR_ddeff19e14884a4489f0a4c942b161b0_143_2" hidden="1">#REF!</definedName>
    <definedName name="TRNR_ddfc40ceaf6d4e539a639c144b3764d0_576_2" hidden="1">#REF!</definedName>
    <definedName name="TRNR_ddfdcecf3c774b288dd5e5b92afa5bea_351_4" hidden="1">#REF!</definedName>
    <definedName name="TRNR_de0312f29d564974adcdea53a6fc91ea_3456_2" hidden="1">#REF!</definedName>
    <definedName name="TRNR_de3853b565cb4fdab0622fc69029309f_1347_2" hidden="1">#REF!</definedName>
    <definedName name="TRNR_de3e123332dc4d88abfd3b71a57d7ab0_808_5" hidden="1">#REF!</definedName>
    <definedName name="TRNR_de4f37dec7d4474fbe28091137f5651e_157_1" hidden="1">#REF!</definedName>
    <definedName name="TRNR_de5f539ba271454484151ac2fc47d88c_387_3" hidden="1">#REF!</definedName>
    <definedName name="TRNR_de77218e32ca41ec9576703a090ae67b_122_2" hidden="1">#REF!</definedName>
    <definedName name="TRNR_de8056ebe7504e319002faf790c6c77c_1036_1" hidden="1">#REF!</definedName>
    <definedName name="TRNR_de830940d01f44f896c45fee5ad8255e_454_3" hidden="1">#REF!</definedName>
    <definedName name="TRNR_de956af3da4c4b3182139f7705fc0e88_366_3" hidden="1">#REF!</definedName>
    <definedName name="TRNR_de9ff252f87a4c34aa4d8384ede1ebf6_121_1" hidden="1">#REF!</definedName>
    <definedName name="TRNR_dea49ae780ad407cbbe12d0008e9ffa1_911_2" hidden="1">#REF!</definedName>
    <definedName name="TRNR_dea9556dd0694d7586f8ced3a9a49842_13_1" hidden="1">#REF!</definedName>
    <definedName name="TRNR_debead862c554a3e8879de178019e921_537_1" hidden="1">#REF!</definedName>
    <definedName name="TRNR_dec9995ff1e24df0839dc7f8c6903d6f_146_3" hidden="1">#REF!</definedName>
    <definedName name="TRNR_decee2777c7145eebfa3e6e13662513d_509_2" hidden="1">#REF!</definedName>
    <definedName name="TRNR_ded1316a6f6b4074b202a7237c4e4dda_361_1" hidden="1">#REF!</definedName>
    <definedName name="TRNR_dedeed797b804c1da56c6a3d59cacb79_8556_4" hidden="1">#REF!</definedName>
    <definedName name="TRNR_dee50de5d4194cfd9057450bc8c33740_9_1" hidden="1">#REF!</definedName>
    <definedName name="TRNR_deed12379328449cbc3a7907a13a6512_16_1" hidden="1">#REF!</definedName>
    <definedName name="TRNR_defaf37bb6d84d539349c4e45a5cf5d3_510_1" hidden="1">#REF!</definedName>
    <definedName name="TRNR_defb7cd29de441a19ff5dfc09e642bfe_1041_2" hidden="1">#REF!</definedName>
    <definedName name="TRNR_df1326e1a6e04748986fb7d01d7d7644_347_3" hidden="1">#REF!</definedName>
    <definedName name="TRNR_df1d2eb37c4d446da6a275a3606333b7_156_4" hidden="1">#REF!</definedName>
    <definedName name="TRNR_df2dcf2e49bd45e28589ef1361f6026d_148_1" hidden="1">#REF!</definedName>
    <definedName name="TRNR_df3c4ff9cb744b1ca4bee704618d5f1b_91_2" hidden="1">#REF!</definedName>
    <definedName name="TRNR_df3fa56a52ef4f96ab5a67b1ce155e72_419_3" hidden="1">#REF!</definedName>
    <definedName name="TRNR_df4c200b2a5a4e2e85b9ba4c11740cc3_6_1" hidden="1">#REF!</definedName>
    <definedName name="TRNR_df5e9a456c304903aa8b7c236726584f_419_3" hidden="1">#REF!</definedName>
    <definedName name="TRNR_df60155f0d7c4668b5d11516bbe8f30a_9_1" hidden="1">#REF!</definedName>
    <definedName name="TRNR_df65250102994048b5220fa8dd3cb3ed_23_4" hidden="1">#REF!</definedName>
    <definedName name="TRNR_df7cf190af6d4ff784e2d5e25eae4413_163_2" hidden="1">#REF!</definedName>
    <definedName name="TRNR_df8f05cebfdc400987f18b2d5d953d62_23_3" hidden="1">#REF!</definedName>
    <definedName name="TRNR_dfac186b73d44f0cadebd975a88e7064_252_2" hidden="1">#REF!</definedName>
    <definedName name="TRNR_dfaed7f6e2624689bd1ce86b7642257d_167_3" hidden="1">#REF!</definedName>
    <definedName name="TRNR_dfb87bd0bb2d4b09a7625841873978ad_568_5" hidden="1">#REF!</definedName>
    <definedName name="TRNR_dfc4d9fa1a3f42de8eecbba6ed51ea10_404_2" hidden="1">#REF!</definedName>
    <definedName name="TRNR_dfcbe837d28846bcb29d43113f47cdc7_1017_8" hidden="1">#REF!</definedName>
    <definedName name="TRNR_dfcdc457de5042ad8ee79364f3791a1e_380_3" hidden="1">#REF!</definedName>
    <definedName name="TRNR_dff64df4c41347d380cd0a0e9d2a20b7_13_1" hidden="1">#REF!</definedName>
    <definedName name="TRNR_e0084ad31d6643d587a9f9e1d14cdc0a_163_2" hidden="1">#REF!</definedName>
    <definedName name="TRNR_e0098c82bf08442fb96e27dfaa144ce3_16_1" hidden="1">#REF!</definedName>
    <definedName name="TRNR_e01084144f914c62b71241be80ceeb61_459_1" hidden="1">#REF!</definedName>
    <definedName name="TRNR_e020bf79be214abd8e943f87b06718f3_8_2" hidden="1">#REF!</definedName>
    <definedName name="TRNR_e03cb8b0651f437892a5025888fb59c9_1172_7" hidden="1">#REF!</definedName>
    <definedName name="TRNR_e03f8381d07f4e5e99241c58f355da2f_9_1" hidden="1">#REF!</definedName>
    <definedName name="TRNR_e0459901a8614e1fba070fd8a42ec013_294_5" hidden="1">#REF!</definedName>
    <definedName name="TRNR_e049689a78c74d1c9652e5c46d165ccb_134_2" hidden="1">#REF!</definedName>
    <definedName name="TRNR_e05a70081dac473893a31b08a6b8c74a_16_1" hidden="1">#REF!</definedName>
    <definedName name="TRNR_e06975417c314f85a53b5fb27210ac94_294_5" hidden="1">#REF!</definedName>
    <definedName name="TRNR_e07798378621421baf859f86a53b8ea1_131_2" hidden="1">#REF!</definedName>
    <definedName name="TRNR_e07a5b66ae1542baa3aee6858d32b22d_275_3" hidden="1">#REF!</definedName>
    <definedName name="TRNR_e094075d5be347f5bda6100c680f9c73_707_5" hidden="1">#REF!</definedName>
    <definedName name="TRNR_e0a0c19ae18345f2ab321fed0cf5dbc9_521_2" hidden="1">#REF!</definedName>
    <definedName name="TRNR_e0a0fc5d7cf14dad8822e9f83ceba09b_21_3" hidden="1">#REF!</definedName>
    <definedName name="TRNR_e0aa62ac30264254a6c0fadacbaf28ab_746_6" hidden="1">#REF!</definedName>
    <definedName name="TRNR_e0c3574471984d23b1f0512173cdb907_1133_8" hidden="1">#REF!</definedName>
    <definedName name="TRNR_e0c97b3079cb4dc9ae26c955a48394de_246_3" hidden="1">#REF!</definedName>
    <definedName name="TRNR_e0d7f1c1558b4a34a51b6337390dd39d_16_1" hidden="1">#REF!</definedName>
    <definedName name="TRNR_e0e4f30d46b148aca1ff89e8354af37a_65_4" hidden="1">#REF!</definedName>
    <definedName name="TRNR_e0ee463e8b7c49b0967a86603bb466df_82_1" hidden="1">#REF!</definedName>
    <definedName name="TRNR_e13f03c46d6b4590900c8812757fe24d_13_1" hidden="1">#REF!</definedName>
    <definedName name="TRNR_e14e615513f54a1bab57e43545bfeffd_234_3" hidden="1">#REF!</definedName>
    <definedName name="TRNR_e1653e2f205547909898a9dd0e73358b_249_2" hidden="1">#REF!</definedName>
    <definedName name="TRNR_e1675547e6164ddfb4c483d2de43d111_23_4" hidden="1">#REF!</definedName>
    <definedName name="TRNR_e18287cedabe483c9ade25222f341d45_2518_2" hidden="1">#REF!</definedName>
    <definedName name="TRNR_e19ca778c80d42a1808542997b97511e_419_4" hidden="1">#REF!</definedName>
    <definedName name="TRNR_e1a3449a42a44989a9a39b209b99e69c_10_1" hidden="1">#REF!</definedName>
    <definedName name="TRNR_e1b144a350784989975614bf37ad47ea_349_2" hidden="1">#REF!</definedName>
    <definedName name="TRNR_e1badc05096d4436a6fa66f45060e989_776_5" hidden="1">#REF!</definedName>
    <definedName name="TRNR_e1eddc9a80a040a68a44a19a71922dd3_1348_8" hidden="1">#REF!</definedName>
    <definedName name="TRNR_e2142507aeba4ba0a90d81280da87ad0_333_3" hidden="1">#REF!</definedName>
    <definedName name="TRNR_e217d78c97f441608515d9cc0b2b422c_251_1" hidden="1">#REF!</definedName>
    <definedName name="TRNR_e22115ec466e446987748243e53b3be1_10_1" hidden="1">#REF!</definedName>
    <definedName name="TRNR_e222b6010fa145c5a2961d16b0962b6c_13_1" hidden="1">#REF!</definedName>
    <definedName name="TRNR_e2235cf205c5436a9cf81ea9aeb92159_132_2" hidden="1">#REF!</definedName>
    <definedName name="TRNR_e2321de96fe14ae5ae5b717c224283b3_309_2" hidden="1">#REF!</definedName>
    <definedName name="TRNR_e2366a921d2540a3a8ffa8e6148d5447_419_4" hidden="1">#REF!</definedName>
    <definedName name="TRNR_e23b7a15b8f143caaf6be0224555b18f_10_1" hidden="1">#REF!</definedName>
    <definedName name="TRNR_e23e6ba2071d4164a999b3cb875820a2_409_1" hidden="1">#REF!</definedName>
    <definedName name="TRNR_e24e1822afde46ddbfc3827245b3841e_742_2" hidden="1">#REF!</definedName>
    <definedName name="TRNR_e2525e9c6a92460b9db9a4ae2cef54a6_174_4" hidden="1">#REF!</definedName>
    <definedName name="TRNR_e2656b74d412492eaabe56b883bd42d0_9055_1" hidden="1">#REF!</definedName>
    <definedName name="TRNR_e2684e2f3a4149be9568e774ab926a78_162_1" hidden="1">#REF!</definedName>
    <definedName name="TRNR_e26f208443254dbca4a2587b01aa88f7_13_1" hidden="1">#REF!</definedName>
    <definedName name="TRNR_e27953f7faee4a0a84c819cc005339d1_521_2" hidden="1">#REF!</definedName>
    <definedName name="TRNR_e292cc4988d449c888a574befd2151fb_311_2" hidden="1">#REF!</definedName>
    <definedName name="TRNR_e2987d9b3191455dba6f564a24763a76_651_2" hidden="1">#REF!</definedName>
    <definedName name="TRNR_e2a7752ccc324327b0d003b33c529452_501_4" hidden="1">#REF!</definedName>
    <definedName name="TRNR_e2b4dae8b27f4f3bab4b90f3e379b14c_631_2" hidden="1">#REF!</definedName>
    <definedName name="TRNR_e2b6aec783ec4198a0ab3c6aadd3cac0_80_1" hidden="1">#REF!</definedName>
    <definedName name="TRNR_e2cc605f117e43d3a8d5ff4a1ba13e2a_376_6" hidden="1">#REF!</definedName>
    <definedName name="TRNR_e2d262d1ff704476bedc09c5a9cf7547_732_6" hidden="1">#REF!</definedName>
    <definedName name="TRNR_e2f1b27ed8c346b49c8f203915e5d300_26_4" hidden="1">#REF!</definedName>
    <definedName name="TRNR_e301bb21e48b496a9e7026460144977f_1067_7" hidden="1">#REF!</definedName>
    <definedName name="TRNR_e32d5fb3438442f6b270634a46d34782_4_1" hidden="1">#REF!</definedName>
    <definedName name="TRNR_e331a10c53e44ba08d55d94359c87ea6_241_9" hidden="1">#REF!</definedName>
    <definedName name="TRNR_e3329c5074484f28acc737fde408a480_70_1" hidden="1">#REF!</definedName>
    <definedName name="TRNR_e336217ff7bc4c4991cfb4c9ac4e894e_484_2" hidden="1">#REF!</definedName>
    <definedName name="TRNR_e3460d09d3ad48ffa8ddbdef3451748a_10_1" hidden="1">#REF!</definedName>
    <definedName name="TRNR_e34c0c52dfca440e9ed703db14153791_23_3" hidden="1">#REF!</definedName>
    <definedName name="TRNR_e34e933ca2df4752b8b1703e304e06ec_7_1" hidden="1">#REF!</definedName>
    <definedName name="TRNR_e37dc321cd08465ca77e422822be9f30_6_1" hidden="1">#REF!</definedName>
    <definedName name="TRNR_e37fe538ddea4aa19f14ca754527380e_524_3" hidden="1">#REF!</definedName>
    <definedName name="TRNR_e380327e582c43648babf2d5d5114cc0_151_2" hidden="1">#REF!</definedName>
    <definedName name="TRNR_e38845ca3cc4425ab5b7f963fac0155b_115_9" hidden="1">#REF!</definedName>
    <definedName name="TRNR_e3b4c2bf37d34a44b3139ee8310dcd7c_282_2" hidden="1">#REF!</definedName>
    <definedName name="TRNR_e3b5227a0a62412288002ba669ea9462_651_8" hidden="1">#REF!</definedName>
    <definedName name="TRNR_e3ede8d0cef743e4b80ac69a8f569e82_621_2" hidden="1">#REF!</definedName>
    <definedName name="TRNR_e3fef0e554d5410a9356b40fd2000bbd_546_2" hidden="1">#REF!</definedName>
    <definedName name="TRNR_e42e180dfb374fcc91a141bdc833e172_3395_1" hidden="1">#REF!</definedName>
    <definedName name="TRNR_e43b78dc429b4ff3a708fc7ae32bc446_62_2" hidden="1">#REF!</definedName>
    <definedName name="TRNR_e43cd645dcea4ebdb6457cd52fe1fcbd_228_3" hidden="1">#REF!</definedName>
    <definedName name="TRNR_e43f53c0110149fea95a83bdf79fa689_9_1" hidden="1">#REF!</definedName>
    <definedName name="TRNR_e43fe0d12e8f4c31b544f7c778afc59f_133_2" hidden="1">#REF!</definedName>
    <definedName name="TRNR_e44141dae29b4d2fb486b0d0a6fc9d3d_598_2" hidden="1">#REF!</definedName>
    <definedName name="TRNR_e4487c2715ce464ab5b92105105edc91_545_4" hidden="1">#REF!</definedName>
    <definedName name="TRNR_e44aabb35a704d41854e849010a04d5a_1426_3" hidden="1">#REF!</definedName>
    <definedName name="TRNR_e456a77886534bfb9e798709074700be_178_2" hidden="1">#REF!</definedName>
    <definedName name="TRNR_e45745557c414d65af4b60d3bd8faa3f_294_5" hidden="1">#REF!</definedName>
    <definedName name="TRNR_e45bb01aab204c05921f1d24888d58c6_148_2" hidden="1">#REF!</definedName>
    <definedName name="TRNR_e4643dc363dc41b6a37e947ee9e9c257_31_4" hidden="1">#REF!</definedName>
    <definedName name="TRNR_e479b311bca047e08f6a64b2f8a4569d_150_3" hidden="1">#REF!</definedName>
    <definedName name="TRNR_e487b5b88ded4d9691a77b9c837f0cc1_568_6" hidden="1">#REF!</definedName>
    <definedName name="TRNR_e4b174df1e6247c696319ccd67cf4d03_409_1" hidden="1">#REF!</definedName>
    <definedName name="TRNR_e4b2b086e37a4006a3590f837b9b24c7_106_1" hidden="1">#REF!</definedName>
    <definedName name="TRNR_e4b73cc109af4c19a45f7feecd3ed27c_600_8" hidden="1">#REF!</definedName>
    <definedName name="TRNR_e4bb457ff7ca4405b9ef3558e79ede71_7_1" hidden="1">#REF!</definedName>
    <definedName name="TRNR_e4be319974bf47cabafe3f3de1071143_535_2" hidden="1">#REF!</definedName>
    <definedName name="TRNR_e4c9b099fec849d7af0862f1629d2414_371_6" hidden="1">#REF!</definedName>
    <definedName name="TRNR_e4cbe47cd4f14dbb920428cf41dc9280_729_2" hidden="1">#REF!</definedName>
    <definedName name="TRNR_e4df11fb394f4edfbbd06ae2a6b705ab_162_2" hidden="1">#REF!</definedName>
    <definedName name="TRNR_e4eaaf52d5ed4fbe8b97cadb333eb3b9_74_1" hidden="1">#REF!</definedName>
    <definedName name="TRNR_e4f5f176d9284e4192ba4be22255bb07_401_2" hidden="1">#REF!</definedName>
    <definedName name="TRNR_e50f71bc6b5f4864a4f743f6b4511e78_419_3" hidden="1">#REF!</definedName>
    <definedName name="TRNR_e51d5836628a4320a67759d53af1abce_241_1" hidden="1">#REF!</definedName>
    <definedName name="TRNR_e523f3ac52b04428b99c0d4984782bef_13_1" hidden="1">#REF!</definedName>
    <definedName name="TRNR_e5274435290947a2b40ef36151fda2f7_13_1" hidden="1">#REF!</definedName>
    <definedName name="TRNR_e536168f0b334feaa15874505519050c_545_2" hidden="1">#REF!</definedName>
    <definedName name="TRNR_e542bc3308cc401ba6735a14aeb0c690_292_2" hidden="1">#REF!</definedName>
    <definedName name="TRNR_e54cbcfdaf954885bd1220ceddc35704_313_2" hidden="1">#REF!</definedName>
    <definedName name="TRNR_e54d8b5b40734283835119ce23c052ec_527_2" hidden="1">#REF!</definedName>
    <definedName name="TRNR_e55fcfb1bf044c82b0cfe874cc466023_152_2" hidden="1">#REF!</definedName>
    <definedName name="TRNR_e567026bf6da48848dc579819f9f37ad_356_3" hidden="1">#REF!</definedName>
    <definedName name="TRNR_e5673f77f0414a05b81c8ba9712aac69_16_1" hidden="1">#REF!</definedName>
    <definedName name="TRNR_e5776a56c9f44aa48e6b03715c0a5e20_154_1" hidden="1">#REF!</definedName>
    <definedName name="TRNR_e57b819d4af140cb910285c54c176e6b_16_1" hidden="1">#REF!</definedName>
    <definedName name="TRNR_e59df481dbc24205bba05af193f3bc2c_455_2" hidden="1">#REF!</definedName>
    <definedName name="TRNR_e5b6a745c23442d6bbb5eefb7fd27dd1_134_4" hidden="1">#REF!</definedName>
    <definedName name="TRNR_e5d7511bb0c8403ea3e5b21dc003e6cc_10_1" hidden="1">#REF!</definedName>
    <definedName name="TRNR_e5d9596dbb9f4365a6a8aa35975b2b2d_425_3" hidden="1">#REF!</definedName>
    <definedName name="TRNR_e5eb5cdd82ab472db5b949707d1b5cab_3201_2" hidden="1">#REF!</definedName>
    <definedName name="TRNR_e6056bbf1c594d2fbe0b04bb7e92163e_242_9" hidden="1">#REF!</definedName>
    <definedName name="TRNR_e6080a4a6086421995c0de8609cb2cf3_5_3" hidden="1">#REF!</definedName>
    <definedName name="TRNR_e60da07408954a7fa4fbd91f1961ec1e_404_2" hidden="1">#REF!</definedName>
    <definedName name="TRNR_e6163dc0893c4c15948bd23d21b6ee02_373_2" hidden="1">#REF!</definedName>
    <definedName name="TRNR_e629a5734b924fe3b6a3919e2591f318_149_1" hidden="1">#REF!</definedName>
    <definedName name="TRNR_e637c6b2e5864418b374bfb74506396b_241_1" hidden="1">#REF!</definedName>
    <definedName name="TRNR_e63ca6f8bdea48e2a4b7c26e2311b223_152_4" hidden="1">#REF!</definedName>
    <definedName name="TRNR_e64623a42c334942950966737a11184c_202_2" hidden="1">#REF!</definedName>
    <definedName name="TRNR_e6480aeafdfa45fea42f0333fdb34a57_151_1" hidden="1">#REF!</definedName>
    <definedName name="TRNR_e64b06b540e94e458d738c04f8bcaa7d_13_1" hidden="1">#REF!</definedName>
    <definedName name="TRNR_e65d79cea1d444d491aeb31f3fd2e6a6_54_3" hidden="1">#REF!</definedName>
    <definedName name="TRNR_e68736966fe0441c996e6e04b7ec4383_73_2" hidden="1">#REF!</definedName>
    <definedName name="TRNR_e693312675f54794b4652001423f924c_37_1" hidden="1">#REF!</definedName>
    <definedName name="TRNR_e6b75930684b43ea8fd09f30a3c168d3_675_2" hidden="1">#REF!</definedName>
    <definedName name="TRNR_e6c83c8ca39644b296437bad650431cc_417_2" hidden="1">#REF!</definedName>
    <definedName name="TRNR_e6ec9d4dfae740e38abef541af5c87a4_372_2" hidden="1">#REF!</definedName>
    <definedName name="TRNR_e6ffe30beb6a42ad89b713a19fd86e88_152_4" hidden="1">#REF!</definedName>
    <definedName name="TRNR_e704e2549027408f85dd4cf693e9774a_419_4" hidden="1">#REF!</definedName>
    <definedName name="TRNR_e7144f38aa244e75824a50fdeeccdafe_383_3" hidden="1">#REF!</definedName>
    <definedName name="TRNR_e71e189ffe8d4b2e9f15ef46f0f48c34_133_2" hidden="1">#REF!</definedName>
    <definedName name="TRNR_e7201850376849588baca1951d73a669_260_1" hidden="1">#REF!</definedName>
    <definedName name="TRNR_e7203b39809f4ff78240f11fa3778303_13_1" hidden="1">#REF!</definedName>
    <definedName name="TRNR_e72c12bfac724344b8a12e524478f9ef_262_2" hidden="1">#REF!</definedName>
    <definedName name="TRNR_e730e9df81394297bd09ce3413ab70de_10058_1" hidden="1">#REF!</definedName>
    <definedName name="TRNR_e735271bd9f74af590f7768321120ad1_77_5" hidden="1">#REF!</definedName>
    <definedName name="TRNR_e743343ace644d13993d8c95cab2cb1a_9_1" hidden="1">#REF!</definedName>
    <definedName name="TRNR_e7541dc4c7cb4f57864804a9dcb76417_366_4" hidden="1">#REF!</definedName>
    <definedName name="TRNR_e7648abebb69413e8f54618012348eee_134_2" hidden="1">#REF!</definedName>
    <definedName name="TRNR_e76cf5987f0b464a90e455123e79a196_133_2" hidden="1">#REF!</definedName>
    <definedName name="TRNR_e77216bc65734537b6c6dd95c28f6499_1108_5" hidden="1">#REF!</definedName>
    <definedName name="TRNR_e773adf6def44b3282faf692e9184848_232_3" hidden="1">#REF!</definedName>
    <definedName name="TRNR_e7a18ac3cac0483081329b4ca5c1b711_4_1" hidden="1">#REF!</definedName>
    <definedName name="TRNR_e7a3494342834c118fb3864e72b72103_338_2" hidden="1">#REF!</definedName>
    <definedName name="TRNR_e7b1d7e5624d43079f5cc3bfd9f475f5_16_1" hidden="1">#REF!</definedName>
    <definedName name="TRNR_e7c9baf7819746cf832473283d3dc58d_44_3" hidden="1">#REF!</definedName>
    <definedName name="TRNR_e7d29471e457478f89ae8f9f92a034a3_669_4" hidden="1">#REF!</definedName>
    <definedName name="TRNR_e7e1671370974e3fafd7d5aec8e4f1eb_250_2" hidden="1">#REF!</definedName>
    <definedName name="TRNR_e7e18c9e7b7948b79e01b04918985f4b_289_3" hidden="1">#REF!</definedName>
    <definedName name="TRNR_e7e60bb874e54c42a0d556ad597d98ef_562_2" hidden="1">#REF!</definedName>
    <definedName name="TRNR_e7f71be29edd4e18aaa436cbe7b54e0c_37_1" hidden="1">#REF!</definedName>
    <definedName name="TRNR_e7f78f8f85cd410fa13b5e5a0a19682e_456_1" hidden="1">#REF!</definedName>
    <definedName name="TRNR_e7fa088f0af34054bedf5d02261d0704_453_3" hidden="1">#REF!</definedName>
    <definedName name="TRNR_e8060ed4bf1e461a8c4ce66e398b40c7_94_2" hidden="1">#REF!</definedName>
    <definedName name="TRNR_e80f84e858fd497d818d268423b83615_419_2" hidden="1">#REF!</definedName>
    <definedName name="TRNR_e810943c32924c4783ee1306b24b31cb_133_2" hidden="1">#REF!</definedName>
    <definedName name="TRNR_e8251c7b01bf4410abf5cc96e779cbbc_421_3" hidden="1">#REF!</definedName>
    <definedName name="TRNR_e82e5a4f2a834a6982aeec868cc0fa63_163_2" hidden="1">#REF!</definedName>
    <definedName name="TRNR_e852a98048254b289335741d795bfa00_91_2" hidden="1">#REF!</definedName>
    <definedName name="TRNR_e8563083ff084f0f86a419aa63374f65_9_1" hidden="1">#REF!</definedName>
    <definedName name="TRNR_e860b2989a9349d1a55a1201ef5b020a_1002_5" hidden="1">#REF!</definedName>
    <definedName name="TRNR_e866b3f9eba44c8aba1c0c66e6976f8c_275_2" hidden="1">#REF!</definedName>
    <definedName name="TRNR_e880c1c55f5244c8900822d8d5866258_23_4" hidden="1">#REF!</definedName>
    <definedName name="TRNR_e89a5418bbf04f16b92b17da97a228b0_505_2" hidden="1">#REF!</definedName>
    <definedName name="TRNR_e8a3a06eaa604fbb8d05ff44f88399fa_4_1" hidden="1">#REF!</definedName>
    <definedName name="TRNR_e8a466e200e4486aa8be04349de12136_183_2" hidden="1">#REF!</definedName>
    <definedName name="TRNR_e8af91dc2d664cc4a7f0ab5044a11f8d_13_1" hidden="1">#REF!</definedName>
    <definedName name="TRNR_e8ca0d78ce2643a182982fa8e8cb4780_13_1" hidden="1">#REF!</definedName>
    <definedName name="TRNR_e8d4ffe73b6341249f88c0341556a720_660_4" hidden="1">#REF!</definedName>
    <definedName name="TRNR_e8e1b733d6914c349eff0a388d97c34b_23_4" hidden="1">#REF!</definedName>
    <definedName name="TRNR_e8e353b3585b4e26b43e6a7d08cdf37e_172_3" hidden="1">#REF!</definedName>
    <definedName name="TRNR_e901182588cb44388c620728e59a48ba_115_1" hidden="1">#REF!</definedName>
    <definedName name="TRNR_e902b7acf5dc46e9b54f5ac96f54aed6_130_2" hidden="1">#REF!</definedName>
    <definedName name="TRNR_e90bbe67f46e4924909488a02fb794eb_539_2" hidden="1">#REF!</definedName>
    <definedName name="TRNR_e914f7d36310451794005e8d19f3e52b_543_2" hidden="1">#REF!</definedName>
    <definedName name="TRNR_e921b6b9559f4910abedccdbd3d1cca0_545_2" hidden="1">#REF!</definedName>
    <definedName name="TRNR_e9229c049cbe48cdad65663915c6147a_893_6" hidden="1">#REF!</definedName>
    <definedName name="TRNR_e92993ee316845a3b67e931d9b357f67_13_1" hidden="1">#REF!</definedName>
    <definedName name="TRNR_e92e6c7c8c824b55a2d980e5b07d4c54_183_3" hidden="1">#REF!</definedName>
    <definedName name="TRNR_e92fcc94220a4a0cb3edbf2f95106481_16_1" hidden="1">#REF!</definedName>
    <definedName name="TRNR_e9318fb50e4d410eb631a6ef52546a58_442_2" hidden="1">#REF!</definedName>
    <definedName name="TRNR_e959e0e98d3e44309cb15ce3f9454570_241_1" hidden="1">#REF!</definedName>
    <definedName name="TRNR_e962b2aadac0421283bf85fd9bedde43_377_2" hidden="1">#REF!</definedName>
    <definedName name="TRNR_e96cc7e2a0a8401eb17aef8761feaf3f_1067_5" hidden="1">#REF!</definedName>
    <definedName name="TRNR_e97d1428c353425593db2d5f1bf86cbf_538_1" hidden="1">#REF!</definedName>
    <definedName name="TRNR_e98179a2f89049ba80a69493d0872423_342_2" hidden="1">#REF!</definedName>
    <definedName name="TRNR_e995bd96f3a4436295faceb013c2d135_6_1" hidden="1">#REF!</definedName>
    <definedName name="TRNR_e9976845c9034cf4925699f725c1c082_389_4" hidden="1">#REF!</definedName>
    <definedName name="TRNR_e99f64a3439641629d35de6c851acf78_7_1" hidden="1">#REF!</definedName>
    <definedName name="TRNR_e9ae2c2cc95a4529abcfb94584ca07d6_154_1" hidden="1">#REF!</definedName>
    <definedName name="TRNR_e9d2d7cba1fa441e9a73f7d20400943a_366_4" hidden="1">#REF!</definedName>
    <definedName name="TRNR_ea0013c3cbb84ae1902d44d041c5ae79_419_3" hidden="1">#REF!</definedName>
    <definedName name="TRNR_ea00960c443a4495a2e18318c0b810f3_260_1" hidden="1">#REF!</definedName>
    <definedName name="TRNR_ea02e1f534cb47f280a0a1e2b6c6b0ca_16_1" hidden="1">#REF!</definedName>
    <definedName name="TRNR_ea185ca230d3430ab3eabeb42f67eb22_13_1" hidden="1">#REF!</definedName>
    <definedName name="TRNR_ea1b578f22644fe2b41538fec0899bf0_653_2" hidden="1">#REF!</definedName>
    <definedName name="TRNR_ea1eff3db4eb4b5fba5d230f19350cde_9_1" hidden="1">#REF!</definedName>
    <definedName name="TRNR_ea2c5896103749919163c4f06d7c4136_244_2" hidden="1">#REF!</definedName>
    <definedName name="TRNR_ea4fdb35ff034395991762c169be78a8_420_2" hidden="1">#REF!</definedName>
    <definedName name="TRNR_ea5cd8750c654cc79eb584dfee437d0e_153_1" hidden="1">#REF!</definedName>
    <definedName name="TRNR_ea7102289d0f44f4927c68da69b5c874_133_2" hidden="1">#REF!</definedName>
    <definedName name="TRNR_ea765fba74fb4493961b98401b31f8f9_533_2" hidden="1">#REF!</definedName>
    <definedName name="TRNR_ea7806c457b74ae4b211f3038ccf6bbd_4_3" hidden="1">#REF!</definedName>
    <definedName name="TRNR_ea798710f96849e5818fc44e27916b36_321_2" hidden="1">#REF!</definedName>
    <definedName name="TRNR_ea88d3b8a24b42e4a06fb5b6c3efcef9_2850_2" hidden="1">#REF!</definedName>
    <definedName name="TRNR_ea9138fbf7cb411e9421093839390593_23_4" hidden="1">#REF!</definedName>
    <definedName name="TRNR_ea9974b07a1943e7b9997c6c56c2a18d_23_4" hidden="1">#REF!</definedName>
    <definedName name="TRNR_eac5e27ac43a40a6a1be2f84591d672f_282_2" hidden="1">#REF!</definedName>
    <definedName name="TRNR_eac79a6472744a1586f94fa94919e0b4_1045_6" hidden="1">#REF!</definedName>
    <definedName name="TRNR_eacbeb92949643c890cbb8db6e96b73a_23_4" hidden="1">#REF!</definedName>
    <definedName name="TRNR_ead46035d6a44ed49a1a11284ad9a55b_285_8" hidden="1">#REF!</definedName>
    <definedName name="TRNR_eaea1bb5e9284e84913ff36b09fcacb2_9_1" hidden="1">#REF!</definedName>
    <definedName name="TRNR_eaec98c3e95a4b2384d161e070b8390e_311_2" hidden="1">#REF!</definedName>
    <definedName name="TRNR_eafba93b449141e183342212d1bfde3b_589_2" hidden="1">#REF!</definedName>
    <definedName name="TRNR_eafe010c068241b3bfa3fefe5bf4169e_35_1" hidden="1">#REF!</definedName>
    <definedName name="TRNR_eb252f6ca944456aa8647eb8d352a021_527_2" hidden="1">#REF!</definedName>
    <definedName name="TRNR_eb3d94d335da4a2391128b2e6ca11ab8_255_2" hidden="1">#REF!</definedName>
    <definedName name="TRNR_eb48f98cf8bf42458adead73d0bc9be6_149_1" hidden="1">#REF!</definedName>
    <definedName name="TRNR_eb65de116bf84b61b87fcf6c9e645c2d_13_1" hidden="1">#REF!</definedName>
    <definedName name="TRNR_eb6b253f2ac54e53b7f6d448eb074c5b_668_2" hidden="1">#REF!</definedName>
    <definedName name="TRNR_eb7f0cb7c4e24d6c9001f3479aaca46d_527_1" hidden="1">#REF!</definedName>
    <definedName name="TRNR_eb8138cd1f454d6e8a6e9b043cffe095_308_2" hidden="1">#REF!</definedName>
    <definedName name="TRNR_eb84eeee4c4d49e7876d7d21c7dd166a_76_1" hidden="1">#REF!</definedName>
    <definedName name="TRNR_eb95678e7fe446779c6dc698161f9cf9_9_1" hidden="1">#REF!</definedName>
    <definedName name="TRNR_eba5bf9c381341b79552594e3fc39c0e_200_2" hidden="1">#REF!</definedName>
    <definedName name="TRNR_ebb0f06f3d5d493ebe18623ab34cfcb9_847_5" hidden="1">#REF!</definedName>
    <definedName name="TRNR_ebba1b1864314d4cad390cac23fd3abe_265_2" hidden="1">#REF!</definedName>
    <definedName name="TRNR_ebc0b09fc1904ee6af6bbfee4bd1eb82_319_2" hidden="1">#REF!</definedName>
    <definedName name="TRNR_ebd498503d74432b974282bb9fca37cd_587_2" hidden="1">#REF!</definedName>
    <definedName name="TRNR_ebd73de5783649c2b558efa46ff12b66_376_6" hidden="1">#REF!</definedName>
    <definedName name="TRNR_ebdf37bf97a145e5b3910ac6d53e968e_26_4" hidden="1">#REF!</definedName>
    <definedName name="TRNR_ebeee32b63d545a9a5eb9aa61bbd8d4d_115_1" hidden="1">#REF!</definedName>
    <definedName name="TRNR_ebfab62a3f364306a0a85da5ec43b9e0_243_3" hidden="1">#REF!</definedName>
    <definedName name="TRNR_ebfb1f23ce1447b6b7fb8b6bc175f5a5_1_1" hidden="1">#REF!</definedName>
    <definedName name="TRNR_ec0933ff0421441aaf829dfe349d5a92_372_2" hidden="1">#REF!</definedName>
    <definedName name="TRNR_ec0c81fa31f24caead372e02e8392eef_461_4" hidden="1">#REF!</definedName>
    <definedName name="TRNR_ec0d6fea03e74b67a4335b839b669657_6_1" hidden="1">#REF!</definedName>
    <definedName name="TRNR_ec165b3a848140c78d04060714d9daa3_140_1" hidden="1">#REF!</definedName>
    <definedName name="TRNR_ec28c0418b8e49c9a5b77a7629e08e6d_911_2" hidden="1">#REF!</definedName>
    <definedName name="TRNR_ec369734e9a2439cb9003ae435105101_144_4" hidden="1">#REF!</definedName>
    <definedName name="TRNR_ec41112f733742dea85d434fb179fe95_13_1" hidden="1">#REF!</definedName>
    <definedName name="TRNR_ec6a8c7814ec4e2c9157f4012406724a_10_1" hidden="1">#REF!</definedName>
    <definedName name="TRNR_ec87df40d3a24effb59096a473f91886_244_4" hidden="1">#REF!</definedName>
    <definedName name="TRNR_ec94bc9395964c90bacc73efb29a4196_429_3" hidden="1">#REF!</definedName>
    <definedName name="TRNR_ec952fe6be634197b9f2438a72cdb811_402_1" hidden="1">#REF!</definedName>
    <definedName name="TRNR_ec99708398a746eca0e40a37a3afdbf6_151_3" hidden="1">#REF!</definedName>
    <definedName name="TRNR_ec9aea17d87a48a99ab8e71a53ec5863_441_4" hidden="1">#REF!</definedName>
    <definedName name="TRNR_eca543b9f9b84d0180ab69891c0c266d_16_1" hidden="1">#REF!</definedName>
    <definedName name="TRNR_ecbc49fdc0404371aeb7977040db25fe_732_5" hidden="1">#REF!</definedName>
    <definedName name="TRNR_ecdbb6761240412ea0f74a45fb330794_267_2" hidden="1">#REF!</definedName>
    <definedName name="TRNR_ecdefdfaa2c141f083035d3e748c70c4_521_2" hidden="1">#REF!</definedName>
    <definedName name="TRNR_ece30841912a48a183654304bc0ae6bd_336_2" hidden="1">#REF!</definedName>
    <definedName name="TRNR_ecfb867347f84a358885b67fa2a0df99_660_4" hidden="1">#REF!</definedName>
    <definedName name="TRNR_ed043b094ac1482483bc682524af52c0_664_2" hidden="1">#REF!</definedName>
    <definedName name="TRNR_ed36af9d23944b61a90bec0a0ae60864_2080_1" hidden="1">#REF!</definedName>
    <definedName name="TRNR_ed630ed82bfd428bb9b51832f47192c9_6_2" hidden="1">#REF!</definedName>
    <definedName name="TRNR_ed648e167c914a799cdf2b294e43964f_626_2" hidden="1">#REF!</definedName>
    <definedName name="TRNR_ed8afd02d63d4a3d98804e64e60dd458_8556_3" hidden="1">#REF!</definedName>
    <definedName name="TRNR_ed9b58685a41472da9a62de548c76e22_276_1" hidden="1">#REF!</definedName>
    <definedName name="TRNR_ed9d52e73fb24b25aa0c03e64312487f_424_4" hidden="1">#REF!</definedName>
    <definedName name="TRNR_eda8860f8e434c0c9e4fe9f1cd138491_145_1" hidden="1">#REF!</definedName>
    <definedName name="TRNR_edb189172f3349c6a496af1a0e3424e9_145_2" hidden="1">#REF!</definedName>
    <definedName name="TRNR_edc9153efe764933bcf47e6be4aa0d25_10_1" hidden="1">#REF!</definedName>
    <definedName name="TRNR_edd40e3165b74b33a713b7f5bcc7cd84_1_1" hidden="1">#REF!</definedName>
    <definedName name="TRNR_edfc7a4d01804716bdff9c91a399ab0f_240_2" hidden="1">#REF!</definedName>
    <definedName name="TRNR_ee1c5af757b9415e86bbdb3aeb72ab4f_44_3" hidden="1">#REF!</definedName>
    <definedName name="TRNR_ee1f8225eaf1491ba01ac736cfe2d1e9_10_1" hidden="1">#REF!</definedName>
    <definedName name="TRNR_ee2839b56be74d1fa3ae2796dc2e237e_10_1" hidden="1">#REF!</definedName>
    <definedName name="TRNR_ee2ffd3db6cb448292481db3ee523735_427_3" hidden="1">#REF!</definedName>
    <definedName name="TRNR_ee30cb5787d145bd83df3764ab9a383f_23_4" hidden="1">#REF!</definedName>
    <definedName name="TRNR_ee46ec52acc04ee0a669f11ab715a552_328_3" hidden="1">#REF!</definedName>
    <definedName name="TRNR_ee4bee7e394549db968c83dd280e9879_162_2" hidden="1">#REF!</definedName>
    <definedName name="TRNR_ee4cd75ecf664333991d72b5d94cc59a_133_2" hidden="1">#REF!</definedName>
    <definedName name="TRNR_ee5720a8eb17428c8d33268add29ec8c_1_1" hidden="1">#REF!</definedName>
    <definedName name="TRNR_ee705c82e8174a328c0ca24144259b52_16_1" hidden="1">#REF!</definedName>
    <definedName name="TRNR_ee7166c899b04eb8b941b32aa006c535_122_1" hidden="1">#REF!</definedName>
    <definedName name="TRNR_ee72a6f26f9045f29c97e3244e9cfbec_13_1" hidden="1">#REF!</definedName>
    <definedName name="TRNR_ee74067ae1ee488e95d64477f187e16f_386_3" hidden="1">#REF!</definedName>
    <definedName name="TRNR_ee85a221e84b48409545d0c8aa12d131_292_3" hidden="1">#REF!</definedName>
    <definedName name="TRNR_ee96f51b7e7a43c28c1405d4040f1730_154_3" hidden="1">#REF!</definedName>
    <definedName name="TRNR_ee9c36f64ed941a782b1fad77d5deb6f_162_2" hidden="1">#REF!</definedName>
    <definedName name="TRNR_ee9fcc92bb944973b6444017b8382f94_38_1" hidden="1">#REF!</definedName>
    <definedName name="TRNR_eeada6a386dc426da648c374267b52bb_241_1" hidden="1">#REF!</definedName>
    <definedName name="TRNR_eeb2f915827844849be59de091cea3a3_531_2" hidden="1">#REF!</definedName>
    <definedName name="TRNR_eebc9d80dd514b658e5cbda986a89627_146_3" hidden="1">#REF!</definedName>
    <definedName name="TRNR_eec789e91a464f38a66eac174f4f8336_1346_8" hidden="1">#REF!</definedName>
    <definedName name="TRNR_eeccd572680a45b08bdc96e15010e725_163_2" hidden="1">#REF!</definedName>
    <definedName name="TRNR_eee4dd343e574974a4e91c251dc7cdb9_148_2" hidden="1">#REF!</definedName>
    <definedName name="TRNR_ef00351e990242ebbcedc4facc298a6c_399_1" hidden="1">#REF!</definedName>
    <definedName name="TRNR_ef10fa41bd6c430e97b57c8265a01b14_520_2" hidden="1">#REF!</definedName>
    <definedName name="TRNR_ef1b3665c968476dba2104662c51de70_132_2" hidden="1">#REF!</definedName>
    <definedName name="TRNR_ef2923fcc6dc437d9e8fd4d37554f5ea_271_2" hidden="1">#REF!</definedName>
    <definedName name="TRNR_ef3e57f657ba4d4e8d4313f3ded3d7dc_9_1" hidden="1">#REF!</definedName>
    <definedName name="TRNR_ef6a14701ffb40d0876f6d9c9f5425bb_13_1" hidden="1">#REF!</definedName>
    <definedName name="TRNR_ef7000151aa941cf91baa85ed3e8ef6a_16_1" hidden="1">#REF!</definedName>
    <definedName name="TRNR_ef85261e8e8c447e9e17df47ddb4bd17_1433_2" hidden="1">#REF!</definedName>
    <definedName name="TRNR_ef91927280824a7dab6eb86459d61e9b_9_1" hidden="1">#REF!</definedName>
    <definedName name="TRNR_ef9e0e90f116444f9b919d7c93d2e69e_241_2" hidden="1">#REF!</definedName>
    <definedName name="TRNR_efa8b868b6834aa485c83cc1639a40ed_626_2" hidden="1">#REF!</definedName>
    <definedName name="TRNR_efb2db001e5e4bec86ce6910bfae0e76_4_3" hidden="1">#REF!</definedName>
    <definedName name="TRNR_efbf0b4384384ece95258099a92227e5_297_4" hidden="1">#REF!</definedName>
    <definedName name="TRNR_efc5e4d246434f0fa2f8846d70fe2604_345_3" hidden="1">#REF!</definedName>
    <definedName name="TRNR_efd38769f73841a999226193921da8e5_158_3" hidden="1">#REF!</definedName>
    <definedName name="TRNR_efd681dbdea24c62957996050df51e1e_534_1" hidden="1">#REF!</definedName>
    <definedName name="TRNR_efdee9996305406fbf1666bba06acdd9_83_2" hidden="1">#REF!</definedName>
    <definedName name="TRNR_efe8d617ee174865934f2e42322d0097_13_1" hidden="1">#REF!</definedName>
    <definedName name="TRNR_eff3c6f5c9634890b5fd43ef079fd6c4_23_3" hidden="1">#REF!</definedName>
    <definedName name="TRNR_f00967e2987d4567955910c86143da9c_102_1" hidden="1">#REF!</definedName>
    <definedName name="TRNR_f0116506b4c94f9bafb51110ab294025_7_1" hidden="1">#REF!</definedName>
    <definedName name="TRNR_f017294f8b384be093387b1b30235446_1257_5" hidden="1">#REF!</definedName>
    <definedName name="TRNR_f01a2526eed44143a6b4774759551e7b_303_2" hidden="1">#REF!</definedName>
    <definedName name="TRNR_f020871eec4e418185a79e17a1fc5ce4_590_4" hidden="1">#REF!</definedName>
    <definedName name="TRNR_f028c6441d0a4953965195219fd6e4bd_13_1" hidden="1">#REF!</definedName>
    <definedName name="TRNR_f02ce122c2c54deea4abdc9c1305dd89_246_3" hidden="1">#REF!</definedName>
    <definedName name="TRNR_f02e2a8dadc241b2a2c1eb3529eb51ae_16_1" hidden="1">#REF!</definedName>
    <definedName name="TRNR_f0489e5bfcb84bdbbcf38ecde08b3fd8_862_5" hidden="1">#REF!</definedName>
    <definedName name="TRNR_f051795bdb8e4e6f8fd2d2f11bb0b183_149_1" hidden="1">#REF!</definedName>
    <definedName name="TRNR_f065a13f56074e31b75916a8e58f9b82_8_1" hidden="1">#REF!</definedName>
    <definedName name="TRNR_f0733b3cc23e4276b43fc565b7d8d42f_13_1" hidden="1">#REF!</definedName>
    <definedName name="TRNR_f074efb8062b45eea9e2477731864207_241_8" hidden="1">#REF!</definedName>
    <definedName name="TRNR_f07554c543cd449f9f65a7568fe54516_272_4" hidden="1">#REF!</definedName>
    <definedName name="TRNR_f0769913045f42888b70dc0bf01b6a90_13_1" hidden="1">#REF!</definedName>
    <definedName name="TRNR_f087056896274f069f775842a618d99b_385_2" hidden="1">#REF!</definedName>
    <definedName name="TRNR_f0a3eaf2aca34ee3af9914286b0435be_532_1" hidden="1">#REF!</definedName>
    <definedName name="TRNR_f0bc433102104a1db10decc9665b3fda_1_2" hidden="1">#REF!</definedName>
    <definedName name="TRNR_f0c88c7bdd9c4854840dd04c2ec92c07_9824_1" hidden="1">#REF!</definedName>
    <definedName name="TRNR_f0c907949b384e0cb83623b4464783a1_523_1" hidden="1">#REF!</definedName>
    <definedName name="TRNR_f0fb2d7faad949d8afb5b2f345aaafd6_9_1" hidden="1">#REF!</definedName>
    <definedName name="TRNR_f110ec832e454e5f86514fc325d72d20_568_2" hidden="1">#REF!</definedName>
    <definedName name="TRNR_f117fc2d0bbe43e7a8b17dd7d70b334a_742_5" hidden="1">#REF!</definedName>
    <definedName name="TRNR_f11850b6df10408c8def7274330b7e50_35_1" hidden="1">#REF!</definedName>
    <definedName name="TRNR_f12aba08a38a4ccca4e01fb038588c3b_640_2" hidden="1">#REF!</definedName>
    <definedName name="TRNR_f133d35fe6c84b0aa94750b482bef8bb_84_3" hidden="1">#REF!</definedName>
    <definedName name="TRNR_f13c6b5d26634dedb6bd0c44360fd36e_538_4" hidden="1">#REF!</definedName>
    <definedName name="TRNR_f13db8617a774acbb530a280c9847288_16_1" hidden="1">#REF!</definedName>
    <definedName name="TRNR_f1458ce52b9e4cf2ab398646764b4bba_406_2" hidden="1">#REF!</definedName>
    <definedName name="TRNR_f14d3914ef664bbda94edd6623c68349_71_3" hidden="1">#REF!</definedName>
    <definedName name="TRNR_f1602aa0db7a4507ac2e928f5d679d59_328_2" hidden="1">#REF!</definedName>
    <definedName name="TRNR_f160bc8f2bd94376bc1563b918fb81f5_13_1" hidden="1">#REF!</definedName>
    <definedName name="TRNR_f180478edadd4d2dbb544e0dee59ae17_526_1" hidden="1">#REF!</definedName>
    <definedName name="TRNR_f19b3710cfba4776843dabe033883e60_585_2" hidden="1">#REF!</definedName>
    <definedName name="TRNR_f1ba058be3db42eab2018b74022906b4_156_4" hidden="1">#REF!</definedName>
    <definedName name="TRNR_f1bb75558ebe4e15aecd81dbc4238c3a_555_2" hidden="1">#REF!</definedName>
    <definedName name="TRNR_f1be1c2e039445cbb6d8d2ac3886dd16_13_1" hidden="1">#REF!</definedName>
    <definedName name="TRNR_f1c01e226320485e8b29d869c5d9bfc0_9_1" hidden="1">#REF!</definedName>
    <definedName name="TRNR_f1cab4e9b1e24f3abe08b882fb244803_419_3" hidden="1">#REF!</definedName>
    <definedName name="TRNR_f1d179e349924a6fbb65be10fd6d9f5a_123_1" hidden="1">#REF!</definedName>
    <definedName name="TRNR_f1dd6d0a6b124e0a9c0029d55b07a8cd_260_1" hidden="1">#REF!</definedName>
    <definedName name="TRNR_f1e04c24783f42f796d663ef9888ef8b_150_4" hidden="1">#REF!</definedName>
    <definedName name="TRNR_f1f278ee02234d7dba4c1a0c362fdbca_69_1" hidden="1">#REF!</definedName>
    <definedName name="TRNR_f23309cb4e934d95afa83bf8e8cf1005_149_1" hidden="1">#REF!</definedName>
    <definedName name="TRNR_f24917ba99044c13b655824f29c79cae_118_1" hidden="1">#REF!</definedName>
    <definedName name="TRNR_f24fef97d3384dc280cfe493bf761ab5_534_1" hidden="1">#REF!</definedName>
    <definedName name="TRNR_f2514729595a41229c3f873ab4b7eeff_23_4" hidden="1">#REF!</definedName>
    <definedName name="TRNR_f251b8a7d03b4c47ab4e9ce13440bfb4_455_2" hidden="1">#REF!</definedName>
    <definedName name="TRNR_f25d4d5299634ed0bfcf68ce69ec2bd4_228_1" hidden="1">#REF!</definedName>
    <definedName name="TRNR_f264524619024562872e334023512887_365_4" hidden="1">#REF!</definedName>
    <definedName name="TRNR_f267acacba644f17a77472c2122f0586_16_1" hidden="1">#REF!</definedName>
    <definedName name="TRNR_f282395504994850ba1d5f23dc95a0d6_1067_7" hidden="1">#REF!</definedName>
    <definedName name="TRNR_f29269189bc84de8b71059232ab7bc1f_539_2" hidden="1">#REF!</definedName>
    <definedName name="TRNR_f2a6e6430b954e6781895674be556fb4_678_2" hidden="1">#REF!</definedName>
    <definedName name="TRNR_f2ad6fe229d54edbad7752999fe8c28b_9_1" hidden="1">#REF!</definedName>
    <definedName name="TRNR_f2ada02178d240a589df226736c04f44_373_3" hidden="1">#REF!</definedName>
    <definedName name="TRNR_f2b4b3c742204fc9af0041c37d7e598b_313_2" hidden="1">#REF!</definedName>
    <definedName name="TRNR_f2d2c2fc393b44dea47b3a53d40b4162_497_2" hidden="1">#REF!</definedName>
    <definedName name="TRNR_f2d8d77462574241a5ed1b26d0bbefb5_180_2" hidden="1">#REF!</definedName>
    <definedName name="TRNR_f2ec1d07e21143c78d29aa6d049e4f2c_645_2" hidden="1">#REF!</definedName>
    <definedName name="TRNR_f2ed46bbdf0543878f538afb1a470cd2_3645_2" hidden="1">#REF!</definedName>
    <definedName name="TRNR_f301a087776a4209a7e39f48eec3f192_242_4" hidden="1">#REF!</definedName>
    <definedName name="TRNR_f307baaf59b444cd9ed362d7d894b0f0_133_2" hidden="1">#REF!</definedName>
    <definedName name="TRNR_f3147506957c49d199c3a06020afcc7d_13_1" hidden="1">#REF!</definedName>
    <definedName name="TRNR_f317070d55144f459a509489b89135a2_672_4" hidden="1">#REF!</definedName>
    <definedName name="TRNR_f334cd37990b43a393310264c4caeb74_37_1" hidden="1">#REF!</definedName>
    <definedName name="TRNR_f3370eb240994ecab3ed34eee4d7ff44_862_2" hidden="1">#REF!</definedName>
    <definedName name="TRNR_f34316d42df643129c02b8d34f6a53d5_322_2" hidden="1">#REF!</definedName>
    <definedName name="TRNR_f3460ce9ba764d439699801a26828df2_101_1" hidden="1">#REF!</definedName>
    <definedName name="TRNR_f371426909f1406a93cee01a2a46f181_80_6" hidden="1">#REF!</definedName>
    <definedName name="TRNR_f37b715f79184a9b9009001fc7699a78_792_2" hidden="1">#REF!</definedName>
    <definedName name="TRNR_f39752552a794bb39604a71c2dbbf836_13_1" hidden="1">#REF!</definedName>
    <definedName name="TRNR_f39c6e8862784c5fae543b14e338d358_222_2" hidden="1">#REF!</definedName>
    <definedName name="TRNR_f3ae2a8f8a3244cfbe6291e9e51e99ca_3565_2" hidden="1">#REF!</definedName>
    <definedName name="TRNR_f3b1262bb3934c9e8d2d9c19b0e18642_67_2" hidden="1">#REF!</definedName>
    <definedName name="TRNR_f3b533450e0a4dc08063077b9d132673_95_1" hidden="1">#REF!</definedName>
    <definedName name="TRNR_f3d56af8fe7c46bd9fe651c41604f714_241_1" hidden="1">#REF!</definedName>
    <definedName name="TRNR_f3da95a95a2e462c978eac278ebc3006_146_1" hidden="1">#REF!</definedName>
    <definedName name="TRNR_f3e40ae06dd1489b89cb2c0438761a20_352_2" hidden="1">#REF!</definedName>
    <definedName name="TRNR_f3e46a1392124935a34c88891d70ce97_266_2" hidden="1">#REF!</definedName>
    <definedName name="TRNR_f3ead746283a42129474ddb09625fc9b_127_2" hidden="1">#REF!</definedName>
    <definedName name="TRNR_f3fb49fb84414264bfbfc41ae45aba70_13_1" hidden="1">#REF!</definedName>
    <definedName name="TRNR_f40e674575c8489eb6b00398ec4f154c_153_3" hidden="1">#REF!</definedName>
    <definedName name="TRNR_f41b1bd76c8f4f5bb6d2abf954a01fbd_527_2" hidden="1">#REF!</definedName>
    <definedName name="TRNR_f43ddc1eeabb42578b1768c8b2aa841d_238_2" hidden="1">#REF!</definedName>
    <definedName name="TRNR_f442596b2f50484ab7782d5dff0abc91_117_2" hidden="1">#REF!</definedName>
    <definedName name="TRNR_f46902d11d4c45cd92a142b5aa1a216f_11_1" hidden="1">#REF!</definedName>
    <definedName name="TRNR_f46db5cb7bb44466abd81be87f32c278_879_2" hidden="1">#REF!</definedName>
    <definedName name="TRNR_f4920c01e0014e88a401fa4c0bcd1d63_241_1" hidden="1">#REF!</definedName>
    <definedName name="TRNR_f49f340b4c764a968add223f7c99360b_311_2" hidden="1">#REF!</definedName>
    <definedName name="TRNR_f4a0fd5d5230468da74c47817a9deb79_35_1" hidden="1">#REF!</definedName>
    <definedName name="TRNR_f4b2fd1215d44ffeb664521748034a19_313_2" hidden="1">#REF!</definedName>
    <definedName name="TRNR_f4bcc1e989a84f73bc68d5f24f286d3d_16_1" hidden="1">#REF!</definedName>
    <definedName name="TRNR_f4c9de003f09473ba4a449ca66c52176_530_2" hidden="1">#REF!</definedName>
    <definedName name="TRNR_f4d12e21947e44ff92894d9d5c1d45e9_153_1" hidden="1">#REF!</definedName>
    <definedName name="TRNR_f4dac798be624171b2009616b4ec3b3a_1_3" hidden="1">#REF!</definedName>
    <definedName name="TRNR_f4e63f2b8a934dbb9d43bb66bfbbb088_379_2" hidden="1">#REF!</definedName>
    <definedName name="TRNR_f4e6f91492d643e0a83593ed18c1180d_378_7" hidden="1">#REF!</definedName>
    <definedName name="TRNR_f4fd38d0dfff4bc08333042416f49e6a_13_1" hidden="1">#REF!</definedName>
    <definedName name="TRNR_f5098e1161dd4a84a5d09a47bc48ff27_492_2" hidden="1">#REF!</definedName>
    <definedName name="TRNR_f51d130a3fa24945b17dea7f1d3d043c_133_2" hidden="1">#REF!</definedName>
    <definedName name="TRNR_f53e7f64291040a1a9451bb8e989eb50_16_1" hidden="1">#REF!</definedName>
    <definedName name="TRNR_f58c47d586ff47bdb69c5d79ac53915d_2336_2" hidden="1">#REF!</definedName>
    <definedName name="TRNR_f59be632e29b4cd7ba59fb144e96f4bb_999_7" hidden="1">#REF!</definedName>
    <definedName name="TRNR_f5b46ebe6d7147dc9bf1093ef51a4d42_310_2" hidden="1">#REF!</definedName>
    <definedName name="TRNR_f5b80ef17b1e4e5ea5de36c4f1ae517c_476_2" hidden="1">#REF!</definedName>
    <definedName name="TRNR_f5de30f9ab4d4388a0917e41608eea1a_16_1" hidden="1">#REF!</definedName>
    <definedName name="TRNR_f5e3f5113f4143ea983c21cc45331ab5_16_1" hidden="1">#REF!</definedName>
    <definedName name="TRNR_f5f0ed3de27c49e6b6e11a3d0f140330_6_1" hidden="1">#REF!</definedName>
    <definedName name="TRNR_f60a7e60d3c14d9eac855227a27e841d_260_1" hidden="1">#REF!</definedName>
    <definedName name="TRNR_f60da35c45bf4a0aba5c90a1bad13927_16_1" hidden="1">#REF!</definedName>
    <definedName name="TRNR_f632b36d2bfe4519ae3ccf2bcd56dc0e_125_1" hidden="1">#REF!</definedName>
    <definedName name="TRNR_f6365397c5d84234bcfb7a218645dd98_133_2" hidden="1">#REF!</definedName>
    <definedName name="TRNR_f6630e63d56144ad824576df8ec5660e_1239_8" hidden="1">#REF!</definedName>
    <definedName name="TRNR_f6738a48a7024e12909c1dd5063bced8_163_2" hidden="1">#REF!</definedName>
    <definedName name="TRNR_f674b3ce48114e159fe2bc9907e314a7_573_1" hidden="1">#REF!</definedName>
    <definedName name="TRNR_f677a8f20ef2408a80a318a9bbc4987a_283_6" hidden="1">#REF!</definedName>
    <definedName name="TRNR_f679eb9dee0f440fbb44c2202679a2c5_13_1" hidden="1">#REF!</definedName>
    <definedName name="TRNR_f67d12c96289464c863c24359e1555a2_1108_7" hidden="1">#REF!</definedName>
    <definedName name="TRNR_f684845e67a64119bde05a8cff6f7534_112_2" hidden="1">#REF!</definedName>
    <definedName name="TRNR_f69b5d7129a844d192ac6621198006f9_150_1" hidden="1">#REF!</definedName>
    <definedName name="TRNR_f6a1bb42bba945b782014b7786e2fff5_141_2" hidden="1">#REF!</definedName>
    <definedName name="TRNR_f6a73c91a69c4c33a0a6f37a0a11230a_339_3" hidden="1">#REF!</definedName>
    <definedName name="TRNR_f6a914a434e14d199920a0b9b58f8341_245_2" hidden="1">#REF!</definedName>
    <definedName name="TRNR_f6ae3b2e406347d3bcb87cc53a844cf7_394_4" hidden="1">#REF!</definedName>
    <definedName name="TRNR_f6b32bfeca3c4df5872bf549e248e8bd_89_3" hidden="1">#REF!</definedName>
    <definedName name="TRNR_f6bb00928cea4d5eb0283db393ff1666_23_4" hidden="1">#REF!</definedName>
    <definedName name="TRNR_f6c46b11783649ecb1d385e5b6238d91_412_3" hidden="1">#REF!</definedName>
    <definedName name="TRNR_f6d671bbff204531b7a343acfffa4a15_9_1" hidden="1">#REF!</definedName>
    <definedName name="TRNR_f6df4eaeb8564f3e926115ee4cf75ae0_16_1" hidden="1">#REF!</definedName>
    <definedName name="TRNR_f6e2ef430baa437c899a955d8e09f12e_249_3" hidden="1">#REF!</definedName>
    <definedName name="TRNR_f6eb6821136c45c780c647bc7e701612_660_3" hidden="1">#REF!</definedName>
    <definedName name="TRNR_f6ff86abc75449ecad566233678f6ff8_8_3" hidden="1">#REF!</definedName>
    <definedName name="TRNR_f704b141249c41e98fd2057a36d72a1e_618_2" hidden="1">#REF!</definedName>
    <definedName name="TRNR_f71d0679721c4b5aa7fc256cb490c5b0_195_4" hidden="1">#REF!</definedName>
    <definedName name="TRNR_f724fa67a8144b8dac7316d99c53b935_122_2" hidden="1">#REF!</definedName>
    <definedName name="TRNR_f73d1ad9bb2f4ea59d8ee58a4e8c4c3f_452_4" hidden="1">#REF!</definedName>
    <definedName name="TRNR_f744b8c0d1da4bba8ef58246499dc294_6320_1" hidden="1">#REF!</definedName>
    <definedName name="TRNR_f76292427e034932b1eae6f389d193a0_77_16" hidden="1">#REF!</definedName>
    <definedName name="TRNR_f76b95b33ac54223817532f800ed238b_287_23" hidden="1">#REF!</definedName>
    <definedName name="TRNR_f790fc9136a246669beaa07638088f39_152_4" hidden="1">#REF!</definedName>
    <definedName name="TRNR_f791028e77404ac8b661346fbeecec5c_149_1" hidden="1">#REF!</definedName>
    <definedName name="TRNR_f79c92b54249414cad3bde1de763a31e_608_2" hidden="1">#REF!</definedName>
    <definedName name="TRNR_f7b0431942e04fe59bdb94d41cbb3e58_183_2" hidden="1">#REF!</definedName>
    <definedName name="TRNR_f7b0d6a44a1a4ce680073df51e70b3d7_156_3" hidden="1">#REF!</definedName>
    <definedName name="TRNR_f7b849e10e2940b9ae6cacdcd3eb6880_311_2" hidden="1">#REF!</definedName>
    <definedName name="TRNR_f7d00310649e421b9e04004af62046f9_94_2" hidden="1">#REF!</definedName>
    <definedName name="TRNR_f7d0127dffb9441f9b2da29dc974b597_261_3" hidden="1">#REF!</definedName>
    <definedName name="TRNR_f7e3873d08a54e1381cc0138e8f49def_13_1" hidden="1">#REF!</definedName>
    <definedName name="TRNR_f7f29fc1a2064f7fa3362b139240d826_587_8" hidden="1">#REF!</definedName>
    <definedName name="TRNR_f7fda20f0f124cda8ca7880998678891_42_2" hidden="1">#REF!</definedName>
    <definedName name="TRNR_f83bcee0e8f640f3ad2f54d2e41a893e_32_4" hidden="1">#REF!</definedName>
    <definedName name="TRNR_f83eb0106c9e475b9aa586279f4ab08a_639_2" hidden="1">#REF!</definedName>
    <definedName name="TRNR_f83f103d18f84e2ebd1920b4522383ea_26_5" hidden="1">#REF!</definedName>
    <definedName name="TRNR_f847fb64ffea406da7e5e19905a57d1a_421_3" hidden="1">#REF!</definedName>
    <definedName name="TRNR_f85683d83dad43e990f9173c0da1bfaa_168_2" hidden="1">#REF!</definedName>
    <definedName name="TRNR_f86455e12e5448be8cabe386d1c793db_410_3" hidden="1">#REF!</definedName>
    <definedName name="TRNR_f8880d18acce458281e2ab959f5f4a1e_7_1" hidden="1">#REF!</definedName>
    <definedName name="TRNR_f899edc2fa0945f3a0b1ae210cf96fe0_8_1" hidden="1">#REF!</definedName>
    <definedName name="TRNR_f8a3284350134df881481713cbbf99ee_13_1" hidden="1">#REF!</definedName>
    <definedName name="TRNR_f8ca3f3cc917461fa566b3f2a24cc6e2_23_4" hidden="1">#REF!</definedName>
    <definedName name="TRNR_f8cc2f6e9d7d4a65b5fcef297a3e195c_294_3" hidden="1">#REF!</definedName>
    <definedName name="TRNR_f8e00a420688468da16929195717b198_522_2" hidden="1">#REF!</definedName>
    <definedName name="TRNR_f8e87c5e036a4aa992dec6422862988d_522_1" hidden="1">#REF!</definedName>
    <definedName name="TRNR_f8eb95ff3c0f404bafbcb5ee875f3c79_10_1" hidden="1">#REF!</definedName>
    <definedName name="TRNR_f8ed784d7b8f4356a157e5b4f9415f9c_405_3" hidden="1">#REF!</definedName>
    <definedName name="TRNR_f8ed979006f947caa1fb2ec0aefb687b_149_3" hidden="1">#REF!</definedName>
    <definedName name="TRNR_f90f78c69bbe449e8edbeadf5e1d32c6_320_3" hidden="1">#REF!</definedName>
    <definedName name="TRNR_f92b97f6482d459691053c692e72e66e_420_2" hidden="1">#REF!</definedName>
    <definedName name="TRNR_f92d702eb20942ddb60cb1d9ade1409c_257_2" hidden="1">#REF!</definedName>
    <definedName name="TRNR_f92e909dfc6f433bbc3f87206008a370_13_1" hidden="1">#REF!</definedName>
    <definedName name="TRNR_f93164b51b3b417e84dc03f21c42ace0_1664_2" hidden="1">#REF!</definedName>
    <definedName name="TRNR_f952b57ebf854adc9fa13a9eea4877fc_44_3" hidden="1">#REF!</definedName>
    <definedName name="TRNR_f95a68142f14435dadc0ef7bbeb081bc_662_4" hidden="1">#REF!</definedName>
    <definedName name="TRNR_f96946e3d57e4721913ade7f76d9a3ac_376_2" hidden="1">#REF!</definedName>
    <definedName name="TRNR_f9afb8a7640f42bc9d147bc12d3feb91_241_1" hidden="1">#REF!</definedName>
    <definedName name="TRNR_f9b15769250a4f399763dd7ae22b81b3_2740_2" hidden="1">#REF!</definedName>
    <definedName name="TRNR_f9b9ddeaebba4b768734517a1a90566e_41_3" hidden="1">#REF!</definedName>
    <definedName name="TRNR_f9ba524a2866407ca6dbb582d649138e_395_2" hidden="1">#REF!</definedName>
    <definedName name="TRNR_f9e64a81550848a69803001e77f157b5_397_2" hidden="1">#REF!</definedName>
    <definedName name="TRNR_f9f54402a53d4ceeba49dde174dbc261_545_2" hidden="1">#REF!</definedName>
    <definedName name="TRNR_f9fc46bc73fa4c81b9867905e95e490b_5_0" hidden="1">#REF!</definedName>
    <definedName name="TRNR_f9fcc321b590452191b875597ebef51c_1811_1" hidden="1">#REF!</definedName>
    <definedName name="TRNR_fa3166fe6fa34b7fbc6554116c3c7b0e_145_1" hidden="1">#REF!</definedName>
    <definedName name="TRNR_fa4b4527a97c446b886fd8565115c15c_149_9" hidden="1">#REF!</definedName>
    <definedName name="TRNR_fa599a99ad75494c93833fe1a7d0f0c0_7_1" hidden="1">#REF!</definedName>
    <definedName name="TRNR_fa691f5df50341be8942e1b25855a317_546_2" hidden="1">#REF!</definedName>
    <definedName name="TRNR_fa6b4eb941c24608aa6d38192e6da520_311_2" hidden="1">#REF!</definedName>
    <definedName name="TRNR_fa76c8c7a53c487282a117b4d2157b3a_88_3" hidden="1">#REF!</definedName>
    <definedName name="TRNR_fa7d99097c9645849356456aceaa0ee1_851_7" hidden="1">#REF!</definedName>
    <definedName name="TRNR_fa8968e9c5ac47afa779e232322fedca_72_3" hidden="1">#REF!</definedName>
    <definedName name="TRNR_fa9b12199038416e96e3581f6669087c_455_2" hidden="1">#REF!</definedName>
    <definedName name="TRNR_fa9ea0938b74471c868bce5d9a6d6acf_661_2" hidden="1">#REF!</definedName>
    <definedName name="TRNR_fab75eb8458e4640945b3b9d18a8a377_453_2" hidden="1">#REF!</definedName>
    <definedName name="TRNR_fab853165e9f47169ff9828f8b582ebd_44_3" hidden="1">#REF!</definedName>
    <definedName name="TRNR_fabdd3932da746a9b0c67cfbc36a9f90_392_2" hidden="1">#REF!</definedName>
    <definedName name="TRNR_fac9a45c310e4f57815c78b01e22beaf_2_4" hidden="1">#REF!</definedName>
    <definedName name="TRNR_fae0efc31b1741fb852e4803b2aa0dce_115_1" hidden="1">#REF!</definedName>
    <definedName name="TRNR_faece3d426db43119f8bf8197c4ab62d_23_3" hidden="1">#REF!</definedName>
    <definedName name="TRNR_faf08e6c1307473ea8601b63257f1852_543_2" hidden="1">#REF!</definedName>
    <definedName name="TRNR_fb3bd80df13b4dab85a721021db1b5cc_9_1" hidden="1">#REF!</definedName>
    <definedName name="TRNR_fb65f064b3714619a51b58be3ca03275_16_1" hidden="1">#REF!</definedName>
    <definedName name="TRNR_fb802be761dd420fac021c1260ed8dee_151_3" hidden="1">#REF!</definedName>
    <definedName name="TRNR_fb949ce02ce5412d9871f210a9da530a_7_6" hidden="1">#REF!</definedName>
    <definedName name="TRNR_fba496a873984654a04c0dfe69639592_120_2" hidden="1">#REF!</definedName>
    <definedName name="TRNR_fba881daa71b4aaa88bf4b74fc659acc_94_2" hidden="1">#REF!</definedName>
    <definedName name="TRNR_fba8ef472f0e4f0bbb8b06405486a88c_135_1" hidden="1">#REF!</definedName>
    <definedName name="TRNR_fbb69a7340bd4b5b92588c5ff3b154cb_244_2" hidden="1">#REF!</definedName>
    <definedName name="TRNR_fbc7a8f6647e4068bf4b52af98ac281f_563_2" hidden="1">#REF!</definedName>
    <definedName name="TRNR_fbd45fec6e584a6b80781a2a5c44fdda_534_2" hidden="1">#REF!</definedName>
    <definedName name="TRNR_fbe1f5c6e6dc4c37a83a840e57a39ed5_366_2" hidden="1">#REF!</definedName>
    <definedName name="TRNR_fbe593fd25e44de09d40f2f3e0790ccf_133_1" hidden="1">#REF!</definedName>
    <definedName name="TRNR_fbe73fa079624d82a1228b1f7af42b0f_149_1" hidden="1">#REF!</definedName>
    <definedName name="TRNR_fbea8972786b4873b5e5ea5baed361e9_575_2" hidden="1">#REF!</definedName>
    <definedName name="TRNR_fbf0e0bb5a3b45b0900b7462a1a5604c_337_3" hidden="1">#REF!</definedName>
    <definedName name="TRNR_fbf4a853d19c441bb8a923f94448119b_1172_8" hidden="1">#REF!</definedName>
    <definedName name="TRNR_fc040bca7c654ae9ac31339d252ed9af_10_1" hidden="1">#REF!</definedName>
    <definedName name="TRNR_fc0f4ab490594820a964218e95b94366_203_1" hidden="1">#REF!</definedName>
    <definedName name="TRNR_fc1e8842be914ac9b2ba96abf1471c2c_419_2" hidden="1">#REF!</definedName>
    <definedName name="TRNR_fc34b83fa62540a0902b28d8b28ca1e8_540_1" hidden="1">#REF!</definedName>
    <definedName name="TRNR_fc36b3b8bea841f4a0d1daca32ad8760_347_3" hidden="1">#REF!</definedName>
    <definedName name="TRNR_fc3b55c389f14d75a8009a0f03398bd8_37_1" hidden="1">#REF!</definedName>
    <definedName name="TRNR_fc568a39d91a4a1bb32ce9a56f59dd2b_2_10" hidden="1">#REF!</definedName>
    <definedName name="TRNR_fc5932c02ff04742b16cdd4ead090a21_16_1" hidden="1">#REF!</definedName>
    <definedName name="TRNR_fca81c782f484d7ab7e76efa57911e51_16_1" hidden="1">#REF!</definedName>
    <definedName name="TRNR_fcab0f2eb89a42468acbea37354edb0d_365_4" hidden="1">#REF!</definedName>
    <definedName name="TRNR_fcad5593052c48fd861532759d8249de_81_1" hidden="1">#REF!</definedName>
    <definedName name="TRNR_fcaf0c94a59143bfbccedb53869e2413_13_1" hidden="1">#REF!</definedName>
    <definedName name="TRNR_fcb76d05c7a64efb8664dc13bd6bd364_217_2" hidden="1">#REF!</definedName>
    <definedName name="TRNR_fcc329dcba954db999e6a3e78bd6141d_10_1" hidden="1">#REF!</definedName>
    <definedName name="TRNR_fcca145f775a464dadb0c2fe62703fbe_138_2" hidden="1">#REF!</definedName>
    <definedName name="TRNR_fcd9a45be4fc4db5b640c510c3e814a8_13_1" hidden="1">#REF!</definedName>
    <definedName name="TRNR_fce971206f224922aa08e0adb3a46551_385_1" hidden="1">#REF!</definedName>
    <definedName name="TRNR_fd132b200eba4ab2a1ff90ccf0397319_94_1" hidden="1">#REF!</definedName>
    <definedName name="TRNR_fd1a92fc99a34d5e85697bb518c72599_289_3" hidden="1">#REF!</definedName>
    <definedName name="TRNR_fd213968f20945a99afed11c0c52968a_776_8" hidden="1">#REF!</definedName>
    <definedName name="TRNR_fd3248aa7e934a73a9b62b14b573a8f2_13_1" hidden="1">#REF!</definedName>
    <definedName name="TRNR_fd36555bbd5c40a6ad4c350dc37d089e_330_5" hidden="1">#REF!</definedName>
    <definedName name="TRNR_fd388b51653d4e7bb781b8ea36f9f858_16_1" hidden="1">#REF!</definedName>
    <definedName name="TRNR_fd3954f206fe4910b882787104983fdc_361_4" hidden="1">#REF!</definedName>
    <definedName name="TRNR_fd3c37f5ccd942c98d4f391822739693_282_2" hidden="1">#REF!</definedName>
    <definedName name="TRNR_fd4615f572754f5fa197a2fcaf361714_419_2" hidden="1">#REF!</definedName>
    <definedName name="TRNR_fd4a021f1fa44ffab75d662567135093_867_8" hidden="1">#REF!</definedName>
    <definedName name="TRNR_fd657bc736c34cce908aa735493bb289_385_2" hidden="1">#REF!</definedName>
    <definedName name="TRNR_fd70d29a2b8c4430a26db07f8457eaf4_14_1" hidden="1">#REF!</definedName>
    <definedName name="TRNR_fd7eaff1ea5d4e4b8bb4464a842bee37_284_3" hidden="1">#REF!</definedName>
    <definedName name="TRNR_fd7ff43126e542feaaf8dd8c393ab91e_37_1" hidden="1">#REF!</definedName>
    <definedName name="TRNR_fd834dd018704fb8a38bd143466e768a_168_2" hidden="1">#REF!</definedName>
    <definedName name="TRNR_fd8a989c47eb464085eaeed19fff292d_10_1" hidden="1">#REF!</definedName>
    <definedName name="TRNR_fd9d1f48776041a2a89232a4e74e0e85_148_3" hidden="1">#REF!</definedName>
    <definedName name="TRNR_fdb704ed14164ee7a9d8afee2b13ad3b_16_2" hidden="1">#REF!</definedName>
    <definedName name="TRNR_fdcdc595770a423bb07980f32ab6528a_4_1" hidden="1">#REF!</definedName>
    <definedName name="TRNR_fdf28dbd0fe2430b91c9008a722a997f_265_3" hidden="1">#REF!</definedName>
    <definedName name="TRNR_fdf8331fcd544ff1ad8e8ed73913e41d_1427_3" hidden="1">#REF!</definedName>
    <definedName name="TRNR_fdfd7f25fb674a13b497f4926538c8ed_762_2" hidden="1">#REF!</definedName>
    <definedName name="TRNR_fe0055abc1654a00abd22dbc2f21e23a_959_7" hidden="1">#REF!</definedName>
    <definedName name="TRNR_fe12e34739a242dc98b277e56936323e_154_3" hidden="1">#REF!</definedName>
    <definedName name="TRNR_fe134692a80b4ae6a01a2b77f71afab6_419_2" hidden="1">#REF!</definedName>
    <definedName name="TRNR_fe18e87534154cda81f41ac63af87cf9_7_1" hidden="1">#REF!</definedName>
    <definedName name="TRNR_fe27afd0dae74f2689a61c0fc01ee61c_542_2" hidden="1">#REF!</definedName>
    <definedName name="TRNR_fe30cb628e2f4ebab12914dc0729a5e7_561_2" hidden="1">#REF!</definedName>
    <definedName name="TRNR_fe37aa26750d49c0902c96aea7586aae_10_1" hidden="1">#REF!</definedName>
    <definedName name="TRNR_fe5ef36920194c6c98436f4659dbb5e2_13_1" hidden="1">#REF!</definedName>
    <definedName name="TRNR_fe64860ed0704104ad3e4e4768e2a649_950_2" hidden="1">#REF!</definedName>
    <definedName name="TRNR_fe65b0320bdc4e2a87246164f5ea4df8_156_2" hidden="1">#REF!</definedName>
    <definedName name="TRNR_fe730735283542f8a2d819a8a49019eb_136_2" hidden="1">#REF!</definedName>
    <definedName name="TRNR_fe7b169478854da0b6b288329a0115ed_510_1" hidden="1">#REF!</definedName>
    <definedName name="TRNR_fe81a07a625740a19ad6b29dd3f4b8f6_10_1" hidden="1">#REF!</definedName>
    <definedName name="TRNR_fe9dc446479c4627a999ba4ddcd037a1_9_1" hidden="1">#REF!</definedName>
    <definedName name="TRNR_fea6b5faa3774f6891954d73df9426bf_10_1" hidden="1">#REF!</definedName>
    <definedName name="TRNR_fea97e6dc43e41458107d146f01d80fe_597_2" hidden="1">#REF!</definedName>
    <definedName name="TRNR_feaf5cae200d487f862deb9c0a8f417f_804_2" hidden="1">#REF!</definedName>
    <definedName name="TRNR_febace27b68845738cfc1d9c3ddcc017_37_1" hidden="1">#REF!</definedName>
    <definedName name="TRNR_fec9f534f89f44ccb1d7393f3b77b0ee_15_2" hidden="1">#REF!</definedName>
    <definedName name="TRNR_fedf588f0aa241f688d665c9d4febaa2_144_6" hidden="1">#REF!</definedName>
    <definedName name="TRNR_fee15465462b4addacffbfc5fe463445_412_2" hidden="1">#REF!</definedName>
    <definedName name="TRNR_fee3faa0cb67438fa64af2b2858da3bc_13_1" hidden="1">#REF!</definedName>
    <definedName name="TRNR_feee62fde65341dea3ac4ec15bedd83a_9_1" hidden="1">#REF!</definedName>
    <definedName name="TRNR_fefceb83ad4a450893d8883145d6f083_118_2" hidden="1">#REF!</definedName>
    <definedName name="TRNR_ff2388f18b8b4156804c89fef6389f7b_88_3" hidden="1">#REF!</definedName>
    <definedName name="TRNR_ff7842503a82410c90057a974aedc263_148_1" hidden="1">#REF!</definedName>
    <definedName name="TRNR_ff9429cce6bc45e88bbba845239bf9d2_241_2" hidden="1">#REF!</definedName>
    <definedName name="TRNR_ffb79d27879848d88f2aa84567520e59_10_1" hidden="1">#REF!</definedName>
    <definedName name="TRNR_ffba1ca7bb26455c90c27e9f6e094fff_124_2" hidden="1">#REF!</definedName>
    <definedName name="TRNR_ffc7860e840f416caa03e3403c891775_16_1" hidden="1">#REF!</definedName>
    <definedName name="TRNR_ffce0cac175e44d2b6e579a3e5c08e8e_16_1" hidden="1">#REF!</definedName>
    <definedName name="TRNR_ffdd4df7ec4240f08b381bd2ef5ff0d6_559_2" hidden="1">#REF!</definedName>
    <definedName name="TRNR_ffe971a465b44b6e89e02adc456a4ba0_103_2" hidden="1">#REF!</definedName>
    <definedName name="TRNR_fff05cdac70d465d8431e9a9a12e23aa_121_1" hidden="1">#REF!</definedName>
    <definedName name="TRNR_fff3997188ce4d3bbf20080d323e529f_16_1" hidden="1">#REF!</definedName>
    <definedName name="TRNR_fff4cab5509c46b294ac5c1a59556b0b_191_3" hidden="1">#REF!</definedName>
    <definedName name="TRNR_fff4d2fa32104313be148a4c887d1c1b_377_1" hidden="1">#REF!</definedName>
    <definedName name="ty" hidden="1">{#N/A,#N/A,FALSE,"CB";#N/A,#N/A,FALSE,"CMB";#N/A,#N/A,FALSE,"NBFI"}</definedName>
    <definedName name="what" hidden="1">{"ca",#N/A,FALSE,"Detailed BOP";"ka",#N/A,FALSE,"Detailed BOP";"btl",#N/A,FALSE,"Detailed BOP";#N/A,#N/A,FALSE,"Debt  Stock TBL";"imfprint",#N/A,FALSE,"IMF";"imfdebtservice",#N/A,FALSE,"IMF";"tradeprint",#N/A,FALSE,"Trade"}</definedName>
    <definedName name="wht?" hidden="1">{"'Basic'!$A$1:$F$96"}</definedName>
    <definedName name="WORLD_ASSET_CLASS_RETURNS" hidden="1">41390.7702777778</definedName>
    <definedName name="wqe" hidden="1">{#N/A,#N/A,FALSE,"Sheet1";#N/A,#N/A,FALSE,"Sheet2"}</definedName>
    <definedName name="wrn.97REDBOP." hidden="1">{"TRADE_COMP",#N/A,FALSE,"TAB23APP";"BOP",#N/A,FALSE,"TAB6";"DOT",#N/A,FALSE,"TAB24APP";"EXTDEBT",#N/A,FALSE,"TAB25APP"}</definedName>
    <definedName name="wrn.ARMRED97.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TBILLS." hidden="1">{#N/A,#N/A,FALSE,"DOC";"TB_28",#N/A,FALSE,"FITB_28";"TB_91",#N/A,FALSE,"FITB_91";"TB_182",#N/A,FALSE,"FITB_182";"TB_273",#N/A,FALSE,"FITB_273";"TB_364",#N/A,FALSE,"FITB_364 ";"SUMMARY",#N/A,FALSE,"Summary"}</definedName>
    <definedName name="wrn.BANKS." hidden="1">{#N/A,#N/A,FALSE,"BANKS"}</definedName>
    <definedName name="wrn.BOP." hidden="1">{#N/A,#N/A,FALSE,"BOP"}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DIESP." hidden="1">{#N/A,#N/A,FALSE,"DIESP"}</definedName>
    <definedName name="wrn.DIVIG." hidden="1">{#N/A,#N/A,FALSE,"DIVIG"}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FISCRED97.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ormula." hidden="1">{#N/A,#N/A,FALSE,"MS"}</definedName>
    <definedName name="wrn.GDP." hidden="1">{#N/A,#N/A,FALSE,"GDP_ORIGIN"}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A." hidden="1">{#N/A,#N/A,FALSE,"IAA - Controlados pelo BB"}</definedName>
    <definedName name="wrn.IAA." hidden="1">{#N/A,#N/A,FALSE,"IAA - Controlados pelo BB"}</definedName>
    <definedName name="wrn.INCOMETX." hidden="1">{#N/A,#N/A,FALSE,"INCOMETX"}</definedName>
    <definedName name="wrn.INTERST." hidden="1">{#N/A,#N/A,FALSE,"INTERST"}</definedName>
    <definedName name="wrn.MAIN." hidden="1">{#N/A,#N/A,FALSE,"CB";#N/A,#N/A,FALSE,"CMB";#N/A,#N/A,FALSE,"BSYS";#N/A,#N/A,FALSE,"NBFI";#N/A,#N/A,FALSE,"FSYS"}</definedName>
    <definedName name="wrn.Main._.Economic._.Indicators." hidden="1">{"Main Economic Indicators",#N/A,FALSE,"C"}</definedName>
    <definedName name="wrn.MDAFIS." hidden="1">{"TAB_2",#N/A,FALSE,"A";"DOC",#N/A,FALSE,"DOC";"TAB6_SRBP",#N/A,FALSE,"SR-BP (2)";"TAB_6",#N/A,FALSE,"A";"TAB6_SRBP",#N/A,FALSE,"SR-BP (2)";"SFUNDREV",#N/A,FALSE,"S.Fund Rev";"Tab_arrears",#N/A,FALSE,"Sheet2";"SR_REVEXP",#N/A,FALSE,"Sheet3"}</definedName>
    <definedName name="wrn.MIT." hidden="1">{#N/A,#N/A,FALSE,"CB";#N/A,#N/A,FALSE,"CMB";#N/A,#N/A,FALSE,"NBFI"}</definedName>
    <definedName name="wrn.Monthsheet." hidden="1">{"Minpmon",#N/A,FALSE,"Monthinput"}</definedName>
    <definedName name="wrn.MS." hidden="1">{#N/A,#N/A,FALSE,"MS"}</definedName>
    <definedName name="wrn.NBG." hidden="1">{#N/A,#N/A,FALSE,"NBG"}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97MON." hidden="1">{"CBA",#N/A,FALSE,"TAB4";"MS",#N/A,FALSE,"TAB5";"BANKLOANS",#N/A,FALSE,"TAB21APP ";"INTEREST",#N/A,FALSE,"TAB22APP"}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ff._.Report._.Tables." hidden="1">{#N/A,#N/A,FALSE,"SRFSYS";#N/A,#N/A,FALSE,"SRBSYS"}</definedName>
    <definedName name="wrn.STAFF_REPORT_TABLES." hidden="1">{"SR_tbs",#N/A,FALSE,"MGSSEI";"SR_tbs",#N/A,FALSE,"MGSBOX";"SR_tbs",#N/A,FALSE,"MGSOCIND"}</definedName>
    <definedName name="wrn.STATE." hidden="1">{#N/A,#N/A,FALSE,"STATE"}</definedName>
    <definedName name="wrn.State._.Govt." hidden="1">{"partial screen",#N/A,FALSE,"State_Gov't"}</definedName>
    <definedName name="wrn.table1a." hidden="1">{"table1a",#N/A,FALSE,"C"}</definedName>
    <definedName name="wrn.table1q." hidden="1">{"table1q",#N/A,FALSE,"C"}</definedName>
    <definedName name="wrn.TAXARREARS." hidden="1">{#N/A,#N/A,FALSE,"TAXARREARS"}</definedName>
    <definedName name="wrn.TAXPAYRS." hidden="1">{#N/A,#N/A,FALSE,"TAXPAYRS"}</definedName>
    <definedName name="wrn.TBILLSALL." hidden="1">{"TBILLS_ALL",#N/A,FALSE,"FITB_all"}</definedName>
    <definedName name="wrn.TOTAL." hidden="1">{#N/A,#N/A,FALSE,"TOTALIZAÇÃO POR EMPRESA"}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Yieldflow." hidden="1">{#N/A,#N/A,FALSE,"Sheet1";#N/A,#N/A,FALSE,"Sheet2"}</definedName>
    <definedName name="wvu.Print.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xxx" hidden="1">{"partial screen",#N/A,FALSE,"State_Gov't"}</definedName>
    <definedName name="xxxxx" hidden="1">{"partial screen",#N/A,FALSE,"State_Gov't"}</definedName>
    <definedName name="Z_041FA3A7_30CF_11D1_A8EA_00A02466B35E_.wvu.Cols" hidden="1">#REF!,#REF!,#REF!,#REF!</definedName>
    <definedName name="Z_041FA3A7_30CF_11D1_A8EA_00A02466B35E_.wvu.Rows" hidden="1">#REF!,#REF!</definedName>
    <definedName name="zut1" hidden="1">#REF!</definedName>
    <definedName name="zzz" hidden="1">{"TBILLS_ALL",#N/A,FALSE,"FITB_all"}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N3" i="6" l="1"/>
  <c r="N4" i="6"/>
  <c r="N5" i="6"/>
  <c r="N6" i="6"/>
  <c r="N7" i="6"/>
  <c r="N2" i="6"/>
  <c r="J3" i="6"/>
  <c r="K3" i="6"/>
  <c r="L3" i="6"/>
  <c r="M3" i="6"/>
  <c r="J4" i="6"/>
  <c r="K4" i="6"/>
  <c r="L4" i="6"/>
  <c r="M4" i="6"/>
  <c r="J5" i="6"/>
  <c r="K5" i="6"/>
  <c r="L5" i="6"/>
  <c r="M5" i="6"/>
  <c r="J6" i="6"/>
  <c r="K6" i="6"/>
  <c r="L6" i="6"/>
  <c r="M6" i="6"/>
  <c r="J7" i="6"/>
  <c r="K7" i="6"/>
  <c r="L7" i="6"/>
  <c r="M7" i="6"/>
  <c r="A2" i="6" a="1"/>
  <c r="A2" i="6" s="1"/>
  <c r="B4" i="40"/>
  <c r="C4" i="40"/>
  <c r="D4" i="40"/>
  <c r="E4" i="40"/>
  <c r="F4" i="40"/>
  <c r="G4" i="40"/>
  <c r="B5" i="40"/>
  <c r="C5" i="40"/>
  <c r="D5" i="40"/>
  <c r="E5" i="40"/>
  <c r="F5" i="40"/>
  <c r="G5" i="40"/>
  <c r="B6" i="40"/>
  <c r="C6" i="40"/>
  <c r="D6" i="40"/>
  <c r="E6" i="40"/>
  <c r="F6" i="40"/>
  <c r="G6" i="40"/>
  <c r="B7" i="40"/>
  <c r="C7" i="40"/>
  <c r="D7" i="40"/>
  <c r="E7" i="40"/>
  <c r="F7" i="40"/>
  <c r="G7" i="40"/>
  <c r="C2" i="40"/>
  <c r="D2" i="40"/>
  <c r="E2" i="40"/>
  <c r="F2" i="40"/>
  <c r="G2" i="40"/>
  <c r="C3" i="40"/>
  <c r="D3" i="40"/>
  <c r="E3" i="40"/>
  <c r="F3" i="40"/>
  <c r="G3" i="40"/>
  <c r="B2" i="40"/>
  <c r="B3" i="40"/>
  <c r="A2" i="40" a="1"/>
  <c r="A2" i="40" s="1"/>
  <c r="B1" i="40" l="1" a="1"/>
  <c r="B1" i="40" s="1"/>
  <c r="B9" i="41"/>
  <c r="B10" i="41"/>
  <c r="B11" i="41"/>
  <c r="B12" i="41"/>
  <c r="D1" i="41" l="1"/>
  <c r="C1" i="41"/>
  <c r="B1" i="41"/>
  <c r="B5" i="41"/>
  <c r="B2" i="41"/>
  <c r="F7" i="36"/>
  <c r="Q7" i="36"/>
  <c r="N7" i="36"/>
  <c r="P7" i="36"/>
  <c r="E7" i="36"/>
  <c r="D7" i="36"/>
  <c r="L7" i="36"/>
  <c r="G7" i="36"/>
  <c r="C7" i="36"/>
  <c r="M7" i="36"/>
  <c r="O7" i="36"/>
  <c r="T10" i="36"/>
  <c r="B5" i="36"/>
  <c r="Q5" i="36"/>
  <c r="M5" i="36"/>
  <c r="L5" i="36"/>
  <c r="A7" i="36"/>
  <c r="J7" i="36"/>
  <c r="P5" i="36"/>
  <c r="N5" i="36"/>
  <c r="U8" i="36"/>
  <c r="K5" i="36"/>
  <c r="G5" i="36"/>
  <c r="F5" i="36"/>
  <c r="E5" i="36"/>
  <c r="C5" i="36"/>
  <c r="D5" i="36"/>
  <c r="O5" i="36"/>
  <c r="B6" i="41" l="1"/>
  <c r="B3" i="41"/>
  <c r="B4" i="41"/>
  <c r="B7" i="41"/>
  <c r="B8" i="41"/>
  <c r="Q2" i="39" l="1"/>
  <c r="P2" i="39"/>
  <c r="H7" i="39"/>
  <c r="I7" i="39" s="1"/>
  <c r="F3" i="41" l="1"/>
  <c r="F4" i="41"/>
  <c r="F8" i="41"/>
  <c r="F10" i="41"/>
  <c r="F12" i="41"/>
  <c r="F6" i="41"/>
  <c r="F5" i="41"/>
  <c r="F7" i="41"/>
  <c r="F9" i="41"/>
  <c r="F11" i="41"/>
  <c r="P12" i="39"/>
  <c r="O12" i="39"/>
  <c r="Q12" i="39"/>
  <c r="H6" i="39"/>
  <c r="F2" i="41" l="1"/>
  <c r="G1" i="41" s="1" a="1"/>
  <c r="G1" i="41" s="1"/>
  <c r="I8" i="39"/>
  <c r="H12" i="39"/>
  <c r="C8" i="39"/>
  <c r="D8" i="39" s="1"/>
  <c r="C6" i="39"/>
  <c r="B9" i="39"/>
  <c r="C9" i="39" s="1"/>
  <c r="D9" i="39" s="1"/>
  <c r="B8" i="39"/>
  <c r="B7" i="39"/>
  <c r="C7" i="39" s="1"/>
  <c r="D7" i="39" s="1"/>
  <c r="B6" i="39"/>
  <c r="I2" i="41" l="1"/>
  <c r="K2" i="41"/>
  <c r="M2" i="41"/>
  <c r="J2" i="41"/>
  <c r="L2" i="41"/>
  <c r="Q2" i="41"/>
  <c r="H2" i="41"/>
  <c r="J12" i="41"/>
  <c r="H12" i="41"/>
  <c r="M6" i="41"/>
  <c r="H4" i="41"/>
  <c r="J5" i="41"/>
  <c r="P4" i="41"/>
  <c r="Q5" i="41"/>
  <c r="M7" i="41"/>
  <c r="H6" i="41"/>
  <c r="N3" i="41"/>
  <c r="N8" i="41"/>
  <c r="M10" i="41"/>
  <c r="L6" i="41"/>
  <c r="H5" i="41"/>
  <c r="Q12" i="41"/>
  <c r="M11" i="41"/>
  <c r="J4" i="41"/>
  <c r="I4" i="41"/>
  <c r="N9" i="41"/>
  <c r="I7" i="41"/>
  <c r="I5" i="41"/>
  <c r="K10" i="41"/>
  <c r="N7" i="41"/>
  <c r="I6" i="41"/>
  <c r="O6" i="41"/>
  <c r="Q7" i="41"/>
  <c r="O9" i="41"/>
  <c r="L9" i="41"/>
  <c r="M5" i="41"/>
  <c r="L5" i="41"/>
  <c r="L7" i="41"/>
  <c r="P9" i="41"/>
  <c r="H8" i="41"/>
  <c r="N11" i="41"/>
  <c r="O10" i="41"/>
  <c r="Q11" i="41"/>
  <c r="N5" i="41"/>
  <c r="K4" i="41"/>
  <c r="O3" i="41"/>
  <c r="O4" i="41"/>
  <c r="H7" i="41"/>
  <c r="L3" i="41"/>
  <c r="J7" i="41"/>
  <c r="J10" i="41"/>
  <c r="O12" i="41"/>
  <c r="P8" i="41"/>
  <c r="N6" i="41"/>
  <c r="P3" i="41"/>
  <c r="N10" i="41"/>
  <c r="N4" i="41"/>
  <c r="P5" i="41"/>
  <c r="P11" i="41"/>
  <c r="M9" i="41"/>
  <c r="J6" i="41"/>
  <c r="L12" i="41"/>
  <c r="M4" i="41"/>
  <c r="O5" i="41"/>
  <c r="I8" i="41"/>
  <c r="M3" i="41"/>
  <c r="Q8" i="41"/>
  <c r="K7" i="41"/>
  <c r="K11" i="41"/>
  <c r="P10" i="41"/>
  <c r="L10" i="41"/>
  <c r="O7" i="41"/>
  <c r="J11" i="41"/>
  <c r="L8" i="41"/>
  <c r="M8" i="41"/>
  <c r="I10" i="41"/>
  <c r="K9" i="41"/>
  <c r="Q6" i="41"/>
  <c r="Q4" i="41"/>
  <c r="P7" i="41"/>
  <c r="K5" i="41"/>
  <c r="H10" i="41"/>
  <c r="N12" i="41"/>
  <c r="H9" i="41"/>
  <c r="I3" i="41"/>
  <c r="H11" i="41"/>
  <c r="H3" i="41"/>
  <c r="M12" i="41"/>
  <c r="P6" i="41"/>
  <c r="I11" i="41"/>
  <c r="O8" i="41"/>
  <c r="P12" i="41"/>
  <c r="K6" i="41"/>
  <c r="L11" i="41"/>
  <c r="J3" i="41"/>
  <c r="I12" i="41"/>
  <c r="J8" i="41"/>
  <c r="K12" i="41"/>
  <c r="K8" i="41"/>
  <c r="O11" i="41"/>
  <c r="I9" i="41"/>
  <c r="J9" i="41"/>
  <c r="L4" i="41"/>
  <c r="K3" i="41"/>
  <c r="Q3" i="41"/>
  <c r="Q9" i="41"/>
  <c r="Q10" i="41"/>
  <c r="O2" i="41"/>
  <c r="N2" i="41"/>
  <c r="P2" i="41"/>
  <c r="O9" i="39"/>
  <c r="P9" i="39"/>
  <c r="Q9" i="39"/>
  <c r="Q7" i="39"/>
  <c r="O7" i="39"/>
  <c r="P7" i="39"/>
  <c r="Q8" i="39"/>
  <c r="O8" i="39"/>
  <c r="P8" i="39"/>
  <c r="Q13" i="39"/>
  <c r="P13" i="39"/>
  <c r="O13" i="39"/>
  <c r="D10" i="39"/>
  <c r="C12" i="39"/>
  <c r="D6" i="39"/>
  <c r="I6" i="39"/>
  <c r="C4" i="41" l="1"/>
  <c r="C3" i="41"/>
  <c r="C9" i="41"/>
  <c r="G2" i="41"/>
  <c r="G6" i="41"/>
  <c r="G11" i="41"/>
  <c r="G3" i="41"/>
  <c r="G9" i="41"/>
  <c r="G5" i="41"/>
  <c r="G4" i="41"/>
  <c r="G10" i="41"/>
  <c r="G7" i="41"/>
  <c r="G8" i="41"/>
  <c r="G12" i="41"/>
  <c r="C7" i="41"/>
  <c r="A11" i="41"/>
  <c r="A12" i="41"/>
  <c r="C10" i="41"/>
  <c r="A10" i="41"/>
  <c r="A9" i="41"/>
  <c r="A8" i="41"/>
  <c r="A4" i="41"/>
  <c r="A7" i="41"/>
  <c r="A6" i="41"/>
  <c r="A5" i="41"/>
  <c r="A3" i="41"/>
  <c r="Q11" i="39"/>
  <c r="P11" i="39"/>
  <c r="O11" i="39"/>
  <c r="I12" i="39"/>
  <c r="D12" i="39"/>
  <c r="Q6" i="39"/>
  <c r="O6" i="39"/>
  <c r="P6" i="39"/>
  <c r="P5" i="39"/>
  <c r="Q5" i="39"/>
  <c r="O5" i="39"/>
  <c r="C5" i="41"/>
  <c r="N14" i="39"/>
  <c r="N17" i="39"/>
  <c r="N6" i="39"/>
  <c r="N12" i="39"/>
  <c r="N15" i="39"/>
  <c r="N5" i="39"/>
  <c r="N8" i="39"/>
  <c r="N16" i="39"/>
  <c r="N9" i="39"/>
  <c r="N18" i="39"/>
  <c r="N10" i="39"/>
  <c r="N7" i="39"/>
  <c r="N11" i="39"/>
  <c r="N13" i="39"/>
  <c r="M2" i="6" l="1"/>
  <c r="L2" i="6"/>
  <c r="K2" i="6"/>
  <c r="C11" i="41"/>
  <c r="C12" i="41"/>
  <c r="C8" i="41"/>
  <c r="A2" i="41"/>
  <c r="N4" i="39"/>
  <c r="R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27" i="36"/>
  <c r="R28" i="36"/>
  <c r="R29" i="36"/>
  <c r="R30" i="36"/>
  <c r="R31" i="36"/>
  <c r="R32" i="36"/>
  <c r="R33" i="36"/>
  <c r="R34" i="36"/>
  <c r="R35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48" i="36"/>
  <c r="R49" i="36"/>
  <c r="R50" i="36"/>
  <c r="R51" i="36"/>
  <c r="R52" i="36"/>
  <c r="R53" i="36"/>
  <c r="R54" i="36"/>
  <c r="R55" i="36"/>
  <c r="R56" i="36"/>
  <c r="R57" i="36"/>
  <c r="R58" i="36"/>
  <c r="R59" i="36"/>
  <c r="R60" i="36"/>
  <c r="R61" i="36"/>
  <c r="R62" i="36"/>
  <c r="R63" i="36"/>
  <c r="R64" i="36"/>
  <c r="R65" i="36"/>
  <c r="R66" i="36"/>
  <c r="R67" i="36"/>
  <c r="R68" i="36"/>
  <c r="R69" i="36"/>
  <c r="R70" i="36"/>
  <c r="R71" i="36"/>
  <c r="R72" i="36"/>
  <c r="R73" i="36"/>
  <c r="R74" i="36"/>
  <c r="R75" i="36"/>
  <c r="R76" i="36"/>
  <c r="R77" i="36"/>
  <c r="R78" i="36"/>
  <c r="R79" i="36"/>
  <c r="R80" i="36"/>
  <c r="R81" i="36"/>
  <c r="R82" i="36"/>
  <c r="R83" i="36"/>
  <c r="R84" i="36"/>
  <c r="R85" i="36"/>
  <c r="R86" i="36"/>
  <c r="R87" i="36"/>
  <c r="R88" i="36"/>
  <c r="R89" i="36"/>
  <c r="R90" i="36"/>
  <c r="R91" i="36"/>
  <c r="R92" i="36"/>
  <c r="R93" i="36"/>
  <c r="R94" i="36"/>
  <c r="R95" i="36"/>
  <c r="R96" i="36"/>
  <c r="R97" i="36"/>
  <c r="R98" i="36"/>
  <c r="R99" i="36"/>
  <c r="R100" i="36"/>
  <c r="R101" i="36"/>
  <c r="R102" i="36"/>
  <c r="R103" i="36"/>
  <c r="R104" i="36"/>
  <c r="R105" i="36"/>
  <c r="R106" i="36"/>
  <c r="R107" i="36"/>
  <c r="R108" i="36"/>
  <c r="R109" i="36"/>
  <c r="R110" i="36"/>
  <c r="R111" i="36"/>
  <c r="R112" i="36"/>
  <c r="R113" i="36"/>
  <c r="R114" i="36"/>
  <c r="R115" i="36"/>
  <c r="R116" i="36"/>
  <c r="R117" i="36"/>
  <c r="R118" i="36"/>
  <c r="R119" i="36"/>
  <c r="R120" i="36"/>
  <c r="R121" i="36"/>
  <c r="R122" i="36"/>
  <c r="R123" i="36"/>
  <c r="R124" i="36"/>
  <c r="R125" i="36"/>
  <c r="R126" i="36"/>
  <c r="R127" i="36"/>
  <c r="R128" i="36"/>
  <c r="R129" i="36"/>
  <c r="R130" i="36"/>
  <c r="R131" i="36"/>
  <c r="R132" i="36"/>
  <c r="R133" i="36"/>
  <c r="R134" i="36"/>
  <c r="R135" i="36"/>
  <c r="R136" i="36"/>
  <c r="R137" i="36"/>
  <c r="R138" i="36"/>
  <c r="R139" i="36"/>
  <c r="R140" i="36"/>
  <c r="R141" i="36"/>
  <c r="R142" i="36"/>
  <c r="R143" i="36"/>
  <c r="R144" i="36"/>
  <c r="R145" i="36"/>
  <c r="R146" i="36"/>
  <c r="R147" i="36"/>
  <c r="R148" i="36"/>
  <c r="R149" i="36"/>
  <c r="R150" i="36"/>
  <c r="R151" i="36"/>
  <c r="R152" i="36"/>
  <c r="R153" i="36"/>
  <c r="R154" i="36"/>
  <c r="R155" i="36"/>
  <c r="R156" i="36"/>
  <c r="R157" i="36"/>
  <c r="R158" i="36"/>
  <c r="R159" i="36"/>
  <c r="R160" i="36"/>
  <c r="R161" i="36"/>
  <c r="R162" i="36"/>
  <c r="R163" i="36"/>
  <c r="R164" i="36"/>
  <c r="R165" i="36"/>
  <c r="R166" i="36"/>
  <c r="R167" i="36"/>
  <c r="R168" i="36"/>
  <c r="R169" i="36"/>
  <c r="R170" i="36"/>
  <c r="R171" i="36"/>
  <c r="R172" i="36"/>
  <c r="R173" i="36"/>
  <c r="R174" i="36"/>
  <c r="R175" i="36"/>
  <c r="R176" i="36"/>
  <c r="R177" i="36"/>
  <c r="R178" i="36"/>
  <c r="R179" i="36"/>
  <c r="R180" i="36"/>
  <c r="R181" i="36"/>
  <c r="R182" i="36"/>
  <c r="R183" i="36"/>
  <c r="R184" i="36"/>
  <c r="U4" i="36" l="1"/>
  <c r="R7" i="36"/>
  <c r="A13" i="31"/>
  <c r="A11" i="31"/>
  <c r="A9" i="31"/>
  <c r="A7" i="31"/>
  <c r="A19" i="31"/>
  <c r="A17" i="31"/>
  <c r="A15" i="31"/>
  <c r="A5" i="31"/>
  <c r="A3" i="31"/>
  <c r="A1" i="31"/>
  <c r="D12" i="41" l="1"/>
  <c r="D11" i="41"/>
  <c r="C2" i="41"/>
  <c r="D5" i="41"/>
  <c r="D9" i="41"/>
  <c r="D10" i="41"/>
  <c r="D3" i="41"/>
  <c r="D4" i="41"/>
  <c r="D7" i="41"/>
  <c r="A20" i="31"/>
  <c r="A18" i="31"/>
  <c r="A16" i="31"/>
  <c r="A14" i="31"/>
  <c r="A12" i="31"/>
  <c r="A10" i="31"/>
  <c r="A8" i="31"/>
  <c r="A6" i="31"/>
  <c r="A4" i="31"/>
  <c r="A2" i="31"/>
  <c r="D8" i="41" l="1"/>
  <c r="C6" i="41" l="1"/>
  <c r="D6" i="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<sst xmlns="http://schemas.openxmlformats.org/spreadsheetml/2006/main" count="132" uniqueCount="62">
  <si>
    <t>LONG_COMP_NAME</t>
  </si>
  <si>
    <t>Duration</t>
  </si>
  <si>
    <t>Ticker</t>
  </si>
  <si>
    <t>Start Date</t>
  </si>
  <si>
    <t>End Date</t>
  </si>
  <si>
    <t>Dates</t>
  </si>
  <si>
    <t>PX_LAST</t>
  </si>
  <si>
    <t>OPT_NAME</t>
  </si>
  <si>
    <t>CRNCY</t>
  </si>
  <si>
    <t>COUNTRY_ISO</t>
  </si>
  <si>
    <t>H_U</t>
  </si>
  <si>
    <t>U</t>
  </si>
  <si>
    <t>L1_CLASS</t>
  </si>
  <si>
    <t>L2_CLASS</t>
  </si>
  <si>
    <t>Bond</t>
  </si>
  <si>
    <t>BMK</t>
  </si>
  <si>
    <t>H</t>
  </si>
  <si>
    <t>PORT</t>
  </si>
  <si>
    <t>#N/A N/A</t>
  </si>
  <si>
    <t>Y</t>
  </si>
  <si>
    <t>Glob IG</t>
  </si>
  <si>
    <t>Glob HY</t>
  </si>
  <si>
    <t>VOL</t>
  </si>
  <si>
    <t>NDUEACWF Index</t>
  </si>
  <si>
    <t>LEGATRUH Index</t>
  </si>
  <si>
    <t>LG30TRUH Index</t>
  </si>
  <si>
    <t>XBTUSD Curncy</t>
  </si>
  <si>
    <t>XAU Curncy</t>
  </si>
  <si>
    <t>G0O1 Index</t>
  </si>
  <si>
    <t>NDEEWNR Index</t>
  </si>
  <si>
    <t>LEGATREH Index</t>
  </si>
  <si>
    <t>LG30TREH Index</t>
  </si>
  <si>
    <t>XBTEUR Curncy</t>
  </si>
  <si>
    <t>XAUEUR Curncy</t>
  </si>
  <si>
    <t>USDEUR Index</t>
  </si>
  <si>
    <t>G0DB Index</t>
  </si>
  <si>
    <t>XBT Curncy</t>
  </si>
  <si>
    <t>10Y_GEO</t>
  </si>
  <si>
    <t>EM Equity</t>
  </si>
  <si>
    <t>EMBI</t>
  </si>
  <si>
    <t>Global Treasury</t>
  </si>
  <si>
    <t>DM Equity</t>
  </si>
  <si>
    <t>BMK_CapPres</t>
  </si>
  <si>
    <t>BMK_Mod</t>
  </si>
  <si>
    <t>BMK_Cons</t>
  </si>
  <si>
    <t>Globl Gov</t>
  </si>
  <si>
    <t>SGD Govt</t>
  </si>
  <si>
    <t>total</t>
  </si>
  <si>
    <t>SGD Equity</t>
  </si>
  <si>
    <t>No SGD</t>
  </si>
  <si>
    <t>With SGD</t>
  </si>
  <si>
    <t>Equity Exp</t>
  </si>
  <si>
    <t>10Y_ARI</t>
  </si>
  <si>
    <t>5Y_GEO</t>
  </si>
  <si>
    <t>5Y_ARI</t>
  </si>
  <si>
    <t>BMK_W</t>
  </si>
  <si>
    <t>EMU Bond All MaturityU</t>
  </si>
  <si>
    <t>Barclays Global TreasuryH</t>
  </si>
  <si>
    <t>World EquityU</t>
  </si>
  <si>
    <t>Global Private DebtH</t>
  </si>
  <si>
    <t>EU Private CreditH</t>
  </si>
  <si>
    <t>EUR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</si>
</sst>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"/>
    <numFmt numFmtId="166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Noto Sans"/>
      <family val="2"/>
    </font>
    <font>
      <b/>
      <sz val="11"/>
      <color theme="0"/>
      <name val="Noto Sans"/>
      <family val="2"/>
    </font>
    <font>
      <sz val="11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164" fontId="0" fillId="0" borderId="0" xfId="1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2" borderId="0" xfId="0" applyFill="1"/>
    <xf numFmtId="14" fontId="0" fillId="0" borderId="0" xfId="0" applyNumberFormat="1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3" borderId="0" xfId="0" applyFill="1"/>
    <xf numFmtId="164" fontId="0" fillId="0" borderId="0" xfId="1" applyNumberFormat="1" applyFont="1"/>
    <xf numFmtId="3" fontId="0" fillId="0" borderId="0" xfId="0" applyNumberFormat="1"/>
    <xf numFmtId="10" fontId="0" fillId="0" borderId="0" xfId="1" applyNumberFormat="1" applyFont="1"/>
    <xf numFmtId="9" fontId="0" fillId="0" borderId="0" xfId="1" applyFont="1"/>
    <xf numFmtId="0" fontId="5" fillId="0" borderId="0" xfId="0" applyFont="1"/>
    <xf numFmtId="164" fontId="5" fillId="0" borderId="0" xfId="1" applyNumberFormat="1" applyFont="1"/>
    <xf numFmtId="2" fontId="5" fillId="0" borderId="0" xfId="1" applyNumberFormat="1" applyFont="1"/>
    <xf numFmtId="2" fontId="5" fillId="0" borderId="0" xfId="0" applyNumberFormat="1" applyFont="1" applyAlignment="1">
      <alignment horizontal="center" vertical="center"/>
    </xf>
    <xf numFmtId="0" fontId="5" fillId="4" borderId="0" xfId="0" applyFont="1" applyFill="1"/>
    <xf numFmtId="164" fontId="5" fillId="4" borderId="0" xfId="1" applyNumberFormat="1" applyFont="1" applyFill="1"/>
    <xf numFmtId="2" fontId="5" fillId="4" borderId="0" xfId="1" applyNumberFormat="1" applyFont="1" applyFill="1"/>
    <xf numFmtId="0" fontId="5" fillId="0" borderId="0" xfId="0" applyFont="1" applyAlignment="1">
      <alignment horizontal="center" vertical="center"/>
    </xf>
    <xf numFmtId="0" fontId="3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165" fontId="0" fillId="0" borderId="0" xfId="1" applyNumberFormat="1" applyFont="1"/>
    <xf numFmtId="10" fontId="0" fillId="0" borderId="0" xfId="1" applyNumberFormat="1" applyFont="1" applyAlignment="1">
      <alignment horizontal="center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Dublin\Quant\Financial%20Engineering\InvestmentStructuringAdvisory\Tools\PortfolioAnalyzer\Portfolio_Analyzer_202606_optim.xlsm" TargetMode="External"/><Relationship Id="rId1" Type="http://schemas.openxmlformats.org/officeDocument/2006/relationships/externalLinkPath" Target="file:///P:\Amundi_Dublin\Quant\Financial%20Engineering\InvestmentStructuringAdvisory\Tools\PortfolioAnalyzer\Portfolio_Analyzer_202606_optim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mundi_Milan/Investment/SPECIALISTS/QUANT_RESEARCH/ASSET_ALLOCATION/CASM/indexesComposition/2025Q2_Summary.xlsx" TargetMode="External"/><Relationship Id="rId2" Type="http://schemas.openxmlformats.org/officeDocument/2006/relationships/externalLinkPath" Target="file:///P:\Amundi_Milan\Investment\SPECIALISTS\QUANT_RESEARCH\ASSET_ALLOCATION\CASM\indexesComposition\2025Q2_Summary.xlsx" TargetMode="External"/><Relationship Id="rId1" Type="http://schemas.openxmlformats.org/officeDocument/2006/relationships/externalLinkPath" Target="/Amundi_Milan/Investment/SPECIALISTS/QUANT_RESEARCH/ASSET_ALLOCATION/CASM/indexesComposition/2025Q2_Summar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mundi_Milan/Investment/SPECIALISTS/QUANT_RESEARCH/ASSET_ALLOCATION/CASM/indexesComposition/2025Q2_Instrument.xlsx" TargetMode="External"/><Relationship Id="rId2" Type="http://schemas.openxmlformats.org/officeDocument/2006/relationships/externalLinkPath" Target="file:///P:\Amundi_Milan\Investment\SPECIALISTS\QUANT_RESEARCH\ASSET_ALLOCATION\CASM\indexesComposition\2025Q2_Instrument.xlsx" TargetMode="External"/><Relationship Id="rId1" Type="http://schemas.openxmlformats.org/officeDocument/2006/relationships/externalLinkPath" Target="/Amundi_Milan/Investment/SPECIALISTS/QUANT_RESEARCH/ASSET_ALLOCATION/CASM/indexesComposition/2025Q2_Instr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tion"/>
      <sheetName val="Dashboard"/>
      <sheetName val="Vol &amp; Returns Assumptions"/>
      <sheetName val="Scatter Plot"/>
      <sheetName val="Inputs for Optimizer"/>
      <sheetName val="Optimizer"/>
      <sheetName val="Backtest &amp; Graphs"/>
      <sheetName val="Histogram"/>
      <sheetName val="corr_mat"/>
      <sheetName val="Full Source"/>
      <sheetName val="Checks"/>
      <sheetName val="ER"/>
      <sheetName val="config_table"/>
      <sheetName val="Service_Arith_Geo"/>
      <sheetName val="Currency"/>
      <sheetName val="H_cost"/>
      <sheetName val="database"/>
      <sheetName val="proxy EM GBI China&amp;SGD IG"/>
      <sheetName val="LiquidAlts"/>
      <sheetName val="Alternative"/>
      <sheetName val="ts_U_USD"/>
      <sheetName val="ts_H_USD"/>
      <sheetName val="rets_U"/>
      <sheetName val="rets_H"/>
      <sheetName val="rets"/>
      <sheetName val="cash_rets"/>
      <sheetName val="custom_ts "/>
      <sheetName val="Information for owner"/>
      <sheetName val="Name_Mana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C1">
            <v>0.95</v>
          </cell>
          <cell r="D1">
            <v>0.97499999999999998</v>
          </cell>
        </row>
        <row r="2">
          <cell r="C2" t="str">
            <v>GEOMETRIC</v>
          </cell>
          <cell r="D2" t="str">
            <v>GEOMETRIC</v>
          </cell>
          <cell r="F2" t="str">
            <v>ARITHMETIC</v>
          </cell>
          <cell r="G2" t="str">
            <v>ARITHMETIC</v>
          </cell>
        </row>
        <row r="3">
          <cell r="B3" t="str">
            <v>ID</v>
          </cell>
          <cell r="C3" t="str">
            <v>Geometric ER 5Y</v>
          </cell>
          <cell r="D3" t="str">
            <v>Geometric ER 10Y</v>
          </cell>
          <cell r="F3" t="str">
            <v>Arithmetic ER 5Y</v>
          </cell>
          <cell r="G3" t="str">
            <v>Arithmetic ER 10Y</v>
          </cell>
        </row>
        <row r="4">
          <cell r="B4" t="str">
            <v>EUR Cash</v>
          </cell>
          <cell r="C4">
            <v>1.9954588838674729E-2</v>
          </cell>
          <cell r="D4">
            <v>1.8946772350878355E-2</v>
          </cell>
          <cell r="F4">
            <v>1.999150077421126E-2</v>
          </cell>
          <cell r="G4">
            <v>1.8984655653139532E-2</v>
          </cell>
        </row>
        <row r="5">
          <cell r="B5" t="str">
            <v>US BondH</v>
          </cell>
          <cell r="C5">
            <v>2.8788332733551192E-2</v>
          </cell>
          <cell r="D5">
            <v>3.2126234935575981E-2</v>
          </cell>
          <cell r="F5">
            <v>3.018529714771211E-2</v>
          </cell>
          <cell r="G5">
            <v>3.3559961571162186E-2</v>
          </cell>
        </row>
        <row r="6">
          <cell r="B6" t="str">
            <v>US BondU</v>
          </cell>
          <cell r="C6">
            <v>2.5275592782138867E-2</v>
          </cell>
          <cell r="D6">
            <v>3.8632205961686372E-2</v>
          </cell>
          <cell r="F6">
            <v>3.0409706472739734E-2</v>
          </cell>
          <cell r="G6">
            <v>4.3901427907303052E-2</v>
          </cell>
        </row>
        <row r="7">
          <cell r="B7" t="str">
            <v>UK BondH</v>
          </cell>
          <cell r="C7">
            <v>4.0999497030612231E-2</v>
          </cell>
          <cell r="D7">
            <v>4.0711117606444747E-2</v>
          </cell>
          <cell r="F7">
            <v>4.3539459798463395E-2</v>
          </cell>
          <cell r="G7">
            <v>4.3317921499765676E-2</v>
          </cell>
        </row>
        <row r="8">
          <cell r="B8" t="str">
            <v>UK BondU</v>
          </cell>
          <cell r="C8">
            <v>6.0900255885969257E-2</v>
          </cell>
          <cell r="D8">
            <v>5.8452376861223732E-2</v>
          </cell>
          <cell r="F8">
            <v>6.4993732691769973E-2</v>
          </cell>
          <cell r="G8">
            <v>6.2653576740861319E-2</v>
          </cell>
        </row>
        <row r="9">
          <cell r="B9" t="str">
            <v>Japan BondH</v>
          </cell>
          <cell r="C9">
            <v>4.7604015847135361E-2</v>
          </cell>
          <cell r="D9">
            <v>3.9168468030645442E-2</v>
          </cell>
          <cell r="F9">
            <v>4.7971414636973096E-2</v>
          </cell>
          <cell r="G9">
            <v>3.9545535209689439E-2</v>
          </cell>
        </row>
        <row r="10">
          <cell r="B10" t="str">
            <v>Japan BondU</v>
          </cell>
          <cell r="C10">
            <v>8.5291004644198365E-2</v>
          </cell>
          <cell r="D10">
            <v>6.4913785663665902E-2</v>
          </cell>
          <cell r="F10">
            <v>9.2454911951790744E-2</v>
          </cell>
          <cell r="G10">
            <v>7.2266216847773873E-2</v>
          </cell>
        </row>
        <row r="11">
          <cell r="B11" t="str">
            <v>Emu Bond - CoreH</v>
          </cell>
          <cell r="C11">
            <v>3.0923698135049103E-2</v>
          </cell>
          <cell r="D11">
            <v>3.0460439767871848E-2</v>
          </cell>
          <cell r="F11">
            <v>3.2055603393001057E-2</v>
          </cell>
          <cell r="G11">
            <v>3.1622132006296225E-2</v>
          </cell>
        </row>
        <row r="12">
          <cell r="B12" t="str">
            <v>Emu Bond - CoreU</v>
          </cell>
          <cell r="C12">
            <v>3.0923698135049103E-2</v>
          </cell>
          <cell r="D12">
            <v>3.0460439767871848E-2</v>
          </cell>
          <cell r="F12">
            <v>3.2055603393001057E-2</v>
          </cell>
          <cell r="G12">
            <v>3.1622132006296225E-2</v>
          </cell>
        </row>
        <row r="13">
          <cell r="B13" t="str">
            <v>Emu Bond - Semi Core (France)H</v>
          </cell>
          <cell r="C13">
            <v>4.0622481164738995E-2</v>
          </cell>
          <cell r="D13">
            <v>3.8332099450958758E-2</v>
          </cell>
          <cell r="F13">
            <v>4.1869768109832381E-2</v>
          </cell>
          <cell r="G13">
            <v>3.9612209736712492E-2</v>
          </cell>
        </row>
        <row r="14">
          <cell r="B14" t="str">
            <v>Emu Bond - Semi Core (France)U</v>
          </cell>
          <cell r="C14">
            <v>4.0622481164738995E-2</v>
          </cell>
          <cell r="D14">
            <v>3.8332099450958758E-2</v>
          </cell>
          <cell r="F14">
            <v>4.1869768109832381E-2</v>
          </cell>
          <cell r="G14">
            <v>3.9612209736712492E-2</v>
          </cell>
        </row>
        <row r="15">
          <cell r="B15" t="str">
            <v>Italy BondH</v>
          </cell>
          <cell r="C15">
            <v>3.509547799336328E-2</v>
          </cell>
          <cell r="D15">
            <v>3.5263977598112256E-2</v>
          </cell>
          <cell r="F15">
            <v>3.6977016645675209E-2</v>
          </cell>
          <cell r="G15">
            <v>3.7195030425485019E-2</v>
          </cell>
        </row>
        <row r="16">
          <cell r="B16" t="str">
            <v>Italy BondU</v>
          </cell>
          <cell r="C16">
            <v>3.509547799336328E-2</v>
          </cell>
          <cell r="D16">
            <v>3.5263977598112256E-2</v>
          </cell>
          <cell r="F16">
            <v>3.6977016645675209E-2</v>
          </cell>
          <cell r="G16">
            <v>3.7195030425485019E-2</v>
          </cell>
        </row>
        <row r="17">
          <cell r="B17" t="str">
            <v>Spain BondH</v>
          </cell>
          <cell r="C17">
            <v>3.4155291313247946E-2</v>
          </cell>
          <cell r="D17">
            <v>3.5133224750145749E-2</v>
          </cell>
          <cell r="F17">
            <v>3.5582640587013679E-2</v>
          </cell>
          <cell r="G17">
            <v>3.6598135846905314E-2</v>
          </cell>
        </row>
        <row r="18">
          <cell r="B18" t="str">
            <v>Spain BondU</v>
          </cell>
          <cell r="C18">
            <v>3.4155291313247946E-2</v>
          </cell>
          <cell r="D18">
            <v>3.5133224750145749E-2</v>
          </cell>
          <cell r="F18">
            <v>3.5582640587013679E-2</v>
          </cell>
          <cell r="G18">
            <v>3.6598135846905314E-2</v>
          </cell>
        </row>
        <row r="19">
          <cell r="B19" t="str">
            <v>EMU Bond All MaturityH</v>
          </cell>
          <cell r="C19">
            <v>3.5680264307945658E-2</v>
          </cell>
          <cell r="D19">
            <v>3.4943409872125804E-2</v>
          </cell>
          <cell r="F19">
            <v>3.6827391675730188E-2</v>
          </cell>
          <cell r="G19">
            <v>3.612072480222045E-2</v>
          </cell>
        </row>
        <row r="20">
          <cell r="B20" t="str">
            <v>EMU Bond All MaturityU</v>
          </cell>
          <cell r="C20">
            <v>3.5680264307945658E-2</v>
          </cell>
          <cell r="D20">
            <v>3.4943409872125804E-2</v>
          </cell>
          <cell r="F20">
            <v>3.6827391675730188E-2</v>
          </cell>
          <cell r="G20">
            <v>3.612072480222045E-2</v>
          </cell>
        </row>
        <row r="21">
          <cell r="B21" t="str">
            <v>Barclays Global TreasuryH</v>
          </cell>
          <cell r="C21">
            <v>3.1236986104209219E-2</v>
          </cell>
          <cell r="D21">
            <v>3.2076044247177471E-2</v>
          </cell>
          <cell r="F21">
            <v>3.1939742180750796E-2</v>
          </cell>
          <cell r="G21">
            <v>3.2797293904680669E-2</v>
          </cell>
        </row>
        <row r="22">
          <cell r="B22" t="str">
            <v>Barclays Global TreasuryU</v>
          </cell>
          <cell r="C22">
            <v>3.6506948603465483E-2</v>
          </cell>
          <cell r="D22">
            <v>4.1220229504944639E-2</v>
          </cell>
          <cell r="F22">
            <v>3.8799951005963222E-2</v>
          </cell>
          <cell r="G22">
            <v>4.3573574075929163E-2</v>
          </cell>
        </row>
        <row r="23">
          <cell r="B23" t="str">
            <v>GBI-EM China LOCH</v>
          </cell>
          <cell r="C23">
            <v>1.9020053220582422E-2</v>
          </cell>
          <cell r="D23">
            <v>2.3342926389404939E-2</v>
          </cell>
          <cell r="F23">
            <v>1.9477101705655898E-2</v>
          </cell>
          <cell r="G23">
            <v>2.3812002466190873E-2</v>
          </cell>
        </row>
        <row r="24">
          <cell r="B24" t="str">
            <v>GBI-EM China LOCU</v>
          </cell>
          <cell r="C24">
            <v>1.0000171463150576E-2</v>
          </cell>
          <cell r="D24">
            <v>2.4300446487292682E-2</v>
          </cell>
          <cell r="F24">
            <v>1.4142029324574135E-2</v>
          </cell>
          <cell r="G24">
            <v>2.8551300608227387E-2</v>
          </cell>
        </row>
        <row r="25">
          <cell r="B25" t="str">
            <v>Euro Corporate IGH</v>
          </cell>
          <cell r="C25">
            <v>3.389362528075162E-2</v>
          </cell>
          <cell r="D25">
            <v>3.4481986134143723E-2</v>
          </cell>
          <cell r="F25">
            <v>3.483318701578017E-2</v>
          </cell>
          <cell r="G25">
            <v>3.5446273177988812E-2</v>
          </cell>
        </row>
        <row r="26">
          <cell r="B26" t="str">
            <v>Euro Corporate IGU</v>
          </cell>
          <cell r="C26">
            <v>3.389362528075162E-2</v>
          </cell>
          <cell r="D26">
            <v>3.4481986134143723E-2</v>
          </cell>
          <cell r="F26">
            <v>3.483318701578017E-2</v>
          </cell>
          <cell r="G26">
            <v>3.5446273177988812E-2</v>
          </cell>
        </row>
        <row r="27">
          <cell r="B27" t="str">
            <v>US Corporate IGH</v>
          </cell>
          <cell r="C27">
            <v>3.2323353863342508E-2</v>
          </cell>
          <cell r="D27">
            <v>3.7224869183419385E-2</v>
          </cell>
          <cell r="F27">
            <v>3.4313347234437561E-2</v>
          </cell>
          <cell r="G27">
            <v>3.9267230801122203E-2</v>
          </cell>
        </row>
        <row r="28">
          <cell r="B28" t="str">
            <v>US Corporate IGU</v>
          </cell>
          <cell r="C28">
            <v>2.8798543780925723E-2</v>
          </cell>
          <cell r="D28">
            <v>4.3762979269236002E-2</v>
          </cell>
          <cell r="F28">
            <v>3.2732961608368964E-2</v>
          </cell>
          <cell r="G28">
            <v>4.780093440792775E-2</v>
          </cell>
        </row>
        <row r="29">
          <cell r="B29" t="str">
            <v>Global Corporate IGH</v>
          </cell>
          <cell r="C29">
            <v>3.2868154156134199E-2</v>
          </cell>
          <cell r="D29">
            <v>3.6608250366888306E-2</v>
          </cell>
          <cell r="F29">
            <v>3.4058797260630096E-2</v>
          </cell>
          <cell r="G29">
            <v>3.7830226184660413E-2</v>
          </cell>
        </row>
        <row r="30">
          <cell r="B30" t="str">
            <v>Global Corporate IGU</v>
          </cell>
          <cell r="C30">
            <v>3.1214909492758514E-2</v>
          </cell>
          <cell r="D30">
            <v>4.2180079165499818E-2</v>
          </cell>
          <cell r="F30">
            <v>3.3209275851154942E-2</v>
          </cell>
          <cell r="G30">
            <v>4.4226928849117206E-2</v>
          </cell>
        </row>
        <row r="31">
          <cell r="B31" t="str">
            <v>Barclays Euro AggregateH</v>
          </cell>
          <cell r="C31">
            <v>3.5842912340168794E-2</v>
          </cell>
          <cell r="D31">
            <v>3.5428090062949162E-2</v>
          </cell>
          <cell r="F31">
            <v>3.6749079238012239E-2</v>
          </cell>
          <cell r="G31">
            <v>3.6358103458104273E-2</v>
          </cell>
        </row>
        <row r="32">
          <cell r="B32" t="str">
            <v>Barclays Euro AggregateU</v>
          </cell>
          <cell r="C32">
            <v>3.5842912340168794E-2</v>
          </cell>
          <cell r="D32">
            <v>3.5428090062949162E-2</v>
          </cell>
          <cell r="F32">
            <v>3.6749079238012239E-2</v>
          </cell>
          <cell r="G32">
            <v>3.6358103458104273E-2</v>
          </cell>
        </row>
        <row r="33">
          <cell r="B33" t="str">
            <v>Barclays US AggregateH</v>
          </cell>
          <cell r="C33">
            <v>3.0219425426448288E-2</v>
          </cell>
          <cell r="D33">
            <v>3.4099807088567857E-2</v>
          </cell>
          <cell r="F33">
            <v>3.1132266241995533E-2</v>
          </cell>
          <cell r="G33">
            <v>3.5036670030840031E-2</v>
          </cell>
        </row>
        <row r="34">
          <cell r="B34" t="str">
            <v>Barclays US AggregateU</v>
          </cell>
          <cell r="C34">
            <v>2.670179908945336E-2</v>
          </cell>
          <cell r="D34">
            <v>4.0618218456577093E-2</v>
          </cell>
          <cell r="F34">
            <v>3.0718846876378256E-2</v>
          </cell>
          <cell r="G34">
            <v>4.4740978027368435E-2</v>
          </cell>
        </row>
        <row r="35">
          <cell r="B35" t="str">
            <v>Barclays Global AggregateH</v>
          </cell>
          <cell r="C35">
            <v>3.1434384787270231E-2</v>
          </cell>
          <cell r="D35">
            <v>3.3390253960285943E-2</v>
          </cell>
          <cell r="F35">
            <v>3.207462459734501E-2</v>
          </cell>
          <cell r="G35">
            <v>3.4047342186415322E-2</v>
          </cell>
        </row>
        <row r="36">
          <cell r="B36" t="str">
            <v>Barclays Global AggregateU</v>
          </cell>
          <cell r="C36">
            <v>3.4038912602428972E-2</v>
          </cell>
          <cell r="D36">
            <v>4.1541115271183315E-2</v>
          </cell>
          <cell r="F36">
            <v>3.6029586347003005E-2</v>
          </cell>
          <cell r="G36">
            <v>4.3584175166930347E-2</v>
          </cell>
        </row>
        <row r="37">
          <cell r="B37" t="str">
            <v>Euro Corporate HYH</v>
          </cell>
          <cell r="C37">
            <v>3.6443626582858879E-2</v>
          </cell>
          <cell r="D37">
            <v>3.8918667795190501E-2</v>
          </cell>
          <cell r="F37">
            <v>4.325868925789024E-2</v>
          </cell>
          <cell r="G37">
            <v>4.5913074224827953E-2</v>
          </cell>
        </row>
        <row r="38">
          <cell r="B38" t="str">
            <v>Euro Corporate HYU</v>
          </cell>
          <cell r="C38">
            <v>3.6443626582858879E-2</v>
          </cell>
          <cell r="D38">
            <v>3.8918667795190501E-2</v>
          </cell>
          <cell r="F38">
            <v>4.325868925789024E-2</v>
          </cell>
          <cell r="G38">
            <v>4.5913074224827953E-2</v>
          </cell>
        </row>
        <row r="39">
          <cell r="B39" t="str">
            <v>US Corporate HYH</v>
          </cell>
          <cell r="C39">
            <v>3.0654034399611563E-2</v>
          </cell>
          <cell r="D39">
            <v>3.6460913298127062E-2</v>
          </cell>
          <cell r="F39">
            <v>3.5367044859633934E-2</v>
          </cell>
          <cell r="G39">
            <v>4.129795034920266E-2</v>
          </cell>
        </row>
        <row r="40">
          <cell r="B40" t="str">
            <v>US Corporate HYU</v>
          </cell>
          <cell r="C40">
            <v>2.7134924114699865E-2</v>
          </cell>
          <cell r="D40">
            <v>4.2994207815182151E-2</v>
          </cell>
          <cell r="F40">
            <v>3.2573785280070468E-2</v>
          </cell>
          <cell r="G40">
            <v>4.8576196905957242E-2</v>
          </cell>
        </row>
        <row r="41">
          <cell r="B41" t="str">
            <v>Global Corporate HYH</v>
          </cell>
          <cell r="C41">
            <v>3.2140410325293578E-2</v>
          </cell>
          <cell r="D41">
            <v>3.7401968816672237E-2</v>
          </cell>
          <cell r="F41">
            <v>3.7076510655348477E-2</v>
          </cell>
          <cell r="G41">
            <v>4.246796652383384E-2</v>
          </cell>
        </row>
        <row r="42">
          <cell r="B42" t="str">
            <v>Global Corporate HYU</v>
          </cell>
          <cell r="C42">
            <v>3.011404730152889E-2</v>
          </cell>
          <cell r="D42">
            <v>4.3632561959327854E-2</v>
          </cell>
          <cell r="F42">
            <v>3.5073435718712506E-2</v>
          </cell>
          <cell r="G42">
            <v>4.8722460598016305E-2</v>
          </cell>
        </row>
        <row r="43">
          <cell r="B43" t="str">
            <v>EM Hard Currency DebtH</v>
          </cell>
          <cell r="C43">
            <v>3.2555315494831483E-2</v>
          </cell>
          <cell r="D43">
            <v>4.0347278938816622E-2</v>
          </cell>
          <cell r="F43">
            <v>3.6290118398997019E-2</v>
          </cell>
          <cell r="G43">
            <v>4.4180366129933889E-2</v>
          </cell>
        </row>
        <row r="44">
          <cell r="B44" t="str">
            <v>EM Hard Currency DebtU</v>
          </cell>
          <cell r="C44">
            <v>2.9029713392458856E-2</v>
          </cell>
          <cell r="D44">
            <v>4.6905071023513489E-2</v>
          </cell>
          <cell r="F44">
            <v>3.3417759595304498E-2</v>
          </cell>
          <cell r="G44">
            <v>5.1408592126434019E-2</v>
          </cell>
        </row>
        <row r="45">
          <cell r="B45" t="str">
            <v>EM-Global DiversifiedU</v>
          </cell>
          <cell r="C45">
            <v>3.6595841398715301E-2</v>
          </cell>
          <cell r="D45">
            <v>4.5296563361757913E-2</v>
          </cell>
          <cell r="F45">
            <v>4.0286829520962103E-2</v>
          </cell>
          <cell r="G45">
            <v>4.9084682750379631E-2</v>
          </cell>
        </row>
        <row r="46">
          <cell r="B46" t="str">
            <v>Singapore BondH</v>
          </cell>
          <cell r="C46">
            <v>1.4177169106747378E-2</v>
          </cell>
          <cell r="D46">
            <v>1.7298364218171214E-2</v>
          </cell>
          <cell r="F46">
            <v>1.5145986242306167E-2</v>
          </cell>
          <cell r="G46">
            <v>1.8292676541507864E-2</v>
          </cell>
        </row>
        <row r="47">
          <cell r="B47" t="str">
            <v>Singapore BondU</v>
          </cell>
          <cell r="C47">
            <v>-7.1184539847767292E-3</v>
          </cell>
          <cell r="D47">
            <v>1.0180764122911468E-2</v>
          </cell>
          <cell r="F47">
            <v>-4.7581436041000498E-3</v>
          </cell>
          <cell r="G47">
            <v>1.2603187934658587E-2</v>
          </cell>
        </row>
        <row r="48">
          <cell r="B48" t="str">
            <v>Singapore Corporate IGH</v>
          </cell>
          <cell r="C48">
            <v>2.0123212201423657E-2</v>
          </cell>
          <cell r="D48">
            <v>2.5413395194772148E-2</v>
          </cell>
          <cell r="F48">
            <v>2.0742289226351403E-2</v>
          </cell>
          <cell r="G48">
            <v>2.6048763720355885E-2</v>
          </cell>
        </row>
        <row r="49">
          <cell r="B49" t="str">
            <v>Singapore Corporate IGU</v>
          </cell>
          <cell r="C49">
            <v>-1.2972654978430365E-3</v>
          </cell>
          <cell r="D49">
            <v>1.8239017710219851E-2</v>
          </cell>
          <cell r="F49">
            <v>9.4982041998771917E-4</v>
          </cell>
          <cell r="G49">
            <v>2.0545237467993523E-2</v>
          </cell>
        </row>
        <row r="50">
          <cell r="B50" t="str">
            <v>US EquityH</v>
          </cell>
          <cell r="C50">
            <v>5.9751837626532467E-2</v>
          </cell>
          <cell r="D50">
            <v>5.5644413767369727E-2</v>
          </cell>
          <cell r="F50">
            <v>7.1515457541299524E-2</v>
          </cell>
          <cell r="G50">
            <v>6.771760262726223E-2</v>
          </cell>
        </row>
        <row r="51">
          <cell r="B51" t="str">
            <v>US EquityU</v>
          </cell>
          <cell r="C51">
            <v>5.613337452759537E-2</v>
          </cell>
          <cell r="D51">
            <v>6.2298630797590127E-2</v>
          </cell>
          <cell r="F51">
            <v>6.7018941533907805E-2</v>
          </cell>
          <cell r="G51">
            <v>7.3470660093542361E-2</v>
          </cell>
        </row>
        <row r="52">
          <cell r="B52" t="str">
            <v>Europe EquityH</v>
          </cell>
          <cell r="C52">
            <v>7.4792646700609255E-2</v>
          </cell>
          <cell r="D52">
            <v>6.4757157152454115E-2</v>
          </cell>
          <cell r="F52">
            <v>8.5014583857437112E-2</v>
          </cell>
          <cell r="G52">
            <v>7.5248092655514284E-2</v>
          </cell>
        </row>
        <row r="53">
          <cell r="B53" t="str">
            <v>Europe EquityU</v>
          </cell>
          <cell r="C53">
            <v>8.1556861539613834E-2</v>
          </cell>
          <cell r="D53">
            <v>7.0453006224161507E-2</v>
          </cell>
          <cell r="F53">
            <v>9.3050508729686884E-2</v>
          </cell>
          <cell r="G53">
            <v>8.224911781397333E-2</v>
          </cell>
        </row>
        <row r="54">
          <cell r="B54" t="str">
            <v>Euro zone EquityH</v>
          </cell>
          <cell r="C54">
            <v>7.911182765059753E-2</v>
          </cell>
          <cell r="D54">
            <v>6.703431445585166E-2</v>
          </cell>
          <cell r="F54">
            <v>9.4028027026353225E-2</v>
          </cell>
          <cell r="G54">
            <v>8.2343045394127234E-2</v>
          </cell>
        </row>
        <row r="55">
          <cell r="B55" t="str">
            <v>Euro zone EquityU</v>
          </cell>
          <cell r="C55">
            <v>7.911182765059753E-2</v>
          </cell>
          <cell r="D55">
            <v>6.703431445585166E-2</v>
          </cell>
          <cell r="F55">
            <v>9.4028027026353225E-2</v>
          </cell>
          <cell r="G55">
            <v>8.2343045394127234E-2</v>
          </cell>
        </row>
        <row r="56">
          <cell r="B56" t="str">
            <v>UK EquityH</v>
          </cell>
          <cell r="C56">
            <v>6.272675745371159E-2</v>
          </cell>
          <cell r="D56">
            <v>5.7616451563618831E-2</v>
          </cell>
          <cell r="F56">
            <v>7.0662393288061343E-2</v>
          </cell>
          <cell r="G56">
            <v>6.5760919919925151E-2</v>
          </cell>
        </row>
        <row r="57">
          <cell r="B57" t="str">
            <v>UK EquityU</v>
          </cell>
          <cell r="C57">
            <v>8.3506099542771883E-2</v>
          </cell>
          <cell r="D57">
            <v>7.5894212359008062E-2</v>
          </cell>
          <cell r="F57">
            <v>9.4159370044888738E-2</v>
          </cell>
          <cell r="G57">
            <v>8.6827832084864831E-2</v>
          </cell>
        </row>
        <row r="58">
          <cell r="B58" t="str">
            <v>Japan EquityH</v>
          </cell>
          <cell r="C58">
            <v>8.7794870331832309E-2</v>
          </cell>
          <cell r="D58">
            <v>6.9534050999065622E-2</v>
          </cell>
          <cell r="F58">
            <v>0.10525700437292274</v>
          </cell>
          <cell r="G58">
            <v>8.7455714883342639E-2</v>
          </cell>
        </row>
        <row r="59">
          <cell r="B59" t="str">
            <v>Japan EquityU</v>
          </cell>
          <cell r="C59">
            <v>0.12592251571812985</v>
          </cell>
          <cell r="D59">
            <v>9.5832742448047403E-2</v>
          </cell>
          <cell r="F59">
            <v>0.13832220198710177</v>
          </cell>
          <cell r="G59">
            <v>0.10855873625041332</v>
          </cell>
        </row>
        <row r="60">
          <cell r="B60" t="str">
            <v>Pacific ex Japan EquityH</v>
          </cell>
          <cell r="C60">
            <v>6.4688113724104213E-2</v>
          </cell>
          <cell r="D60">
            <v>5.5363754825884071E-2</v>
          </cell>
          <cell r="F60">
            <v>7.4335477023732319E-2</v>
          </cell>
          <cell r="G60">
            <v>6.5264996107081336E-2</v>
          </cell>
        </row>
        <row r="61">
          <cell r="B61" t="str">
            <v>Pacific ex Japan EquityU</v>
          </cell>
          <cell r="C61">
            <v>7.4913916655016344E-2</v>
          </cell>
          <cell r="D61">
            <v>6.9834621392548923E-2</v>
          </cell>
          <cell r="F61">
            <v>8.9301882528405097E-2</v>
          </cell>
          <cell r="G61">
            <v>8.4601217946816326E-2</v>
          </cell>
        </row>
        <row r="62">
          <cell r="B62" t="str">
            <v>Emerging Markets EquityU</v>
          </cell>
          <cell r="C62">
            <v>9.2215901597191285E-2</v>
          </cell>
          <cell r="D62">
            <v>6.9204973719401819E-2</v>
          </cell>
          <cell r="F62">
            <v>0.10858709378344245</v>
          </cell>
          <cell r="G62">
            <v>8.6006986752659595E-2</v>
          </cell>
        </row>
        <row r="63">
          <cell r="B63" t="str">
            <v>China EquityH</v>
          </cell>
          <cell r="C63">
            <v>8.591761603531145E-2</v>
          </cell>
          <cell r="D63">
            <v>7.8006257796874534E-2</v>
          </cell>
          <cell r="F63">
            <v>0.11765455308003872</v>
          </cell>
          <cell r="G63">
            <v>0.1105783773954104</v>
          </cell>
        </row>
        <row r="64">
          <cell r="B64" t="str">
            <v>China EquityU</v>
          </cell>
          <cell r="C64">
            <v>8.2209811356331208E-2</v>
          </cell>
          <cell r="D64">
            <v>8.4801431915890957E-2</v>
          </cell>
          <cell r="F64">
            <v>0.10724459324593526</v>
          </cell>
          <cell r="G64">
            <v>0.11049502385522143</v>
          </cell>
        </row>
        <row r="65">
          <cell r="B65" t="str">
            <v>India EquityU</v>
          </cell>
          <cell r="C65">
            <v>0.1120823358619365</v>
          </cell>
          <cell r="D65">
            <v>8.6301675355797691E-2</v>
          </cell>
          <cell r="F65">
            <v>0.14328128968873466</v>
          </cell>
          <cell r="G65">
            <v>0.11832165428330106</v>
          </cell>
        </row>
        <row r="66">
          <cell r="B66" t="str">
            <v>Singapore EquityH</v>
          </cell>
          <cell r="C66">
            <v>8.4490714631100694E-2</v>
          </cell>
          <cell r="D66">
            <v>7.0415096336301275E-2</v>
          </cell>
          <cell r="F66">
            <v>9.9098093774123819E-2</v>
          </cell>
          <cell r="G66">
            <v>8.5406880193614476E-2</v>
          </cell>
        </row>
        <row r="67">
          <cell r="B67" t="str">
            <v>Singapore EquityU</v>
          </cell>
          <cell r="C67">
            <v>6.1718652501776106E-2</v>
          </cell>
          <cell r="D67">
            <v>6.2925861260703986E-2</v>
          </cell>
          <cell r="F67">
            <v>7.7240069799011296E-2</v>
          </cell>
          <cell r="G67">
            <v>7.8855736907866417E-2</v>
          </cell>
        </row>
        <row r="68">
          <cell r="B68" t="str">
            <v>World EquityH</v>
          </cell>
          <cell r="C68">
            <v>6.1614047171119068E-2</v>
          </cell>
          <cell r="D68">
            <v>5.5823066035564084E-2</v>
          </cell>
          <cell r="F68">
            <v>7.2073839840464268E-2</v>
          </cell>
          <cell r="G68">
            <v>6.6558116406734161E-2</v>
          </cell>
        </row>
        <row r="69">
          <cell r="B69" t="str">
            <v>World EquityU</v>
          </cell>
          <cell r="C69">
            <v>6.483419569517479E-2</v>
          </cell>
          <cell r="D69">
            <v>6.6589509737047248E-2</v>
          </cell>
          <cell r="F69">
            <v>7.4823611043609323E-2</v>
          </cell>
          <cell r="G69">
            <v>7.6841804436756367E-2</v>
          </cell>
        </row>
        <row r="70">
          <cell r="B70" t="str">
            <v>AC World EquityU</v>
          </cell>
          <cell r="C70">
            <v>6.8691763628198066E-2</v>
          </cell>
          <cell r="D70">
            <v>6.7545677588543906E-2</v>
          </cell>
          <cell r="F70">
            <v>7.8743937089341631E-2</v>
          </cell>
          <cell r="G70">
            <v>7.7862381930243876E-2</v>
          </cell>
        </row>
        <row r="71">
          <cell r="B71" t="str">
            <v>Global Private DebtH</v>
          </cell>
          <cell r="C71">
            <v>6.3317388574092526E-2</v>
          </cell>
          <cell r="D71">
            <v>6.2922813876952199E-2</v>
          </cell>
          <cell r="F71">
            <v>6.6978814159054836E-2</v>
          </cell>
          <cell r="G71">
            <v>6.668059276678194E-2</v>
          </cell>
        </row>
        <row r="72">
          <cell r="B72" t="str">
            <v>Global Private DebtU</v>
          </cell>
          <cell r="C72">
            <v>6.2050963850852847E-2</v>
          </cell>
          <cell r="D72">
            <v>6.8858364852222964E-2</v>
          </cell>
          <cell r="F72">
            <v>6.9887605953833767E-2</v>
          </cell>
          <cell r="G72">
            <v>7.6901234378966538E-2</v>
          </cell>
        </row>
        <row r="73">
          <cell r="B73" t="str">
            <v>EU Private CreditH</v>
          </cell>
          <cell r="C73">
            <v>4.9326365133767529E-2</v>
          </cell>
          <cell r="D73">
            <v>5.2363144218068224E-2</v>
          </cell>
          <cell r="F73">
            <v>5.2448073949396344E-2</v>
          </cell>
          <cell r="G73">
            <v>5.5567003265687274E-2</v>
          </cell>
        </row>
        <row r="74">
          <cell r="B74" t="str">
            <v>EU Private CreditU</v>
          </cell>
          <cell r="C74">
            <v>4.9326365133767529E-2</v>
          </cell>
          <cell r="D74">
            <v>5.2363144218068224E-2</v>
          </cell>
          <cell r="F74">
            <v>5.2448073949396344E-2</v>
          </cell>
          <cell r="G74">
            <v>5.5567003265687274E-2</v>
          </cell>
        </row>
        <row r="75">
          <cell r="B75" t="str">
            <v>EU Real EstateH</v>
          </cell>
          <cell r="C75">
            <v>4.217517162409546E-2</v>
          </cell>
          <cell r="D75">
            <v>4.158871126239147E-2</v>
          </cell>
          <cell r="F75">
            <v>4.7276493208391467E-2</v>
          </cell>
          <cell r="G75">
            <v>4.682427815153737E-2</v>
          </cell>
        </row>
        <row r="76">
          <cell r="B76" t="str">
            <v>EU Real EstateU</v>
          </cell>
          <cell r="C76">
            <v>4.217517162409546E-2</v>
          </cell>
          <cell r="D76">
            <v>4.158871126239147E-2</v>
          </cell>
          <cell r="F76">
            <v>4.7276493208391467E-2</v>
          </cell>
          <cell r="G76">
            <v>4.682427815153737E-2</v>
          </cell>
        </row>
        <row r="77">
          <cell r="B77" t="str">
            <v>US Real EstateH</v>
          </cell>
          <cell r="C77">
            <v>2.1457776695918529E-2</v>
          </cell>
          <cell r="D77">
            <v>3.9984643106004025E-2</v>
          </cell>
          <cell r="F77">
            <v>2.9208758416385486E-2</v>
          </cell>
          <cell r="G77">
            <v>4.7939598029641164E-2</v>
          </cell>
        </row>
        <row r="78">
          <cell r="B78" t="str">
            <v>US Real EstateU</v>
          </cell>
          <cell r="C78">
            <v>1.7970066516170613E-2</v>
          </cell>
          <cell r="D78">
            <v>4.6540149328621938E-2</v>
          </cell>
          <cell r="F78">
            <v>3.0730279792058203E-2</v>
          </cell>
          <cell r="G78">
            <v>5.9636157690717097E-2</v>
          </cell>
        </row>
        <row r="79">
          <cell r="B79" t="str">
            <v>Global InfrastructureH</v>
          </cell>
          <cell r="C79">
            <v>6.5474387978782911E-2</v>
          </cell>
          <cell r="D79">
            <v>6.307712547285238E-2</v>
          </cell>
          <cell r="F79">
            <v>7.550145575280881E-2</v>
          </cell>
          <cell r="G79">
            <v>7.336806345145791E-2</v>
          </cell>
        </row>
        <row r="80">
          <cell r="B80" t="str">
            <v>Global InfrastructureU</v>
          </cell>
          <cell r="C80">
            <v>6.1836385553235118E-2</v>
          </cell>
          <cell r="D80">
            <v>6.9778194337048793E-2</v>
          </cell>
          <cell r="F80">
            <v>7.1908842383433202E-2</v>
          </cell>
          <cell r="G80">
            <v>8.0115715820673145E-2</v>
          </cell>
        </row>
        <row r="81">
          <cell r="B81" t="str">
            <v>Global Private EquityH</v>
          </cell>
          <cell r="C81">
            <v>8.7901036387784792E-2</v>
          </cell>
          <cell r="D81">
            <v>8.8806883096736566E-2</v>
          </cell>
          <cell r="F81">
            <v>0.10122832665134721</v>
          </cell>
          <cell r="G81">
            <v>0.10248489152512957</v>
          </cell>
        </row>
        <row r="82">
          <cell r="B82" t="str">
            <v>Global Private EquityU</v>
          </cell>
          <cell r="C82">
            <v>8.5494965658987621E-2</v>
          </cell>
          <cell r="D82">
            <v>9.4624135179331104E-2</v>
          </cell>
          <cell r="F82">
            <v>9.8206536711401365E-2</v>
          </cell>
          <cell r="G82">
            <v>0.10767022125943994</v>
          </cell>
        </row>
        <row r="83">
          <cell r="B83" t="str">
            <v>US Private EquityH</v>
          </cell>
          <cell r="C83">
            <v>7.7710011543891344E-2</v>
          </cell>
          <cell r="D83">
            <v>8.0319775524611892E-2</v>
          </cell>
          <cell r="F83">
            <v>9.2532147346344032E-2</v>
          </cell>
          <cell r="G83">
            <v>9.5531967532392278E-2</v>
          </cell>
        </row>
        <row r="84">
          <cell r="B84" t="str">
            <v>US Private EquityU</v>
          </cell>
          <cell r="C84">
            <v>7.4030231269237134E-2</v>
          </cell>
          <cell r="D84">
            <v>8.7129532820371169E-2</v>
          </cell>
          <cell r="F84">
            <v>8.8064898910289E-2</v>
          </cell>
          <cell r="G84">
            <v>0.10153353382039808</v>
          </cell>
        </row>
        <row r="85">
          <cell r="B85" t="str">
            <v>EU Private EquityH</v>
          </cell>
          <cell r="C85">
            <v>0.12329800415121983</v>
          </cell>
          <cell r="D85">
            <v>0.11741290683088293</v>
          </cell>
          <cell r="F85">
            <v>0.13704025948467927</v>
          </cell>
          <cell r="G85">
            <v>0.13151680046259129</v>
          </cell>
        </row>
        <row r="86">
          <cell r="B86" t="str">
            <v>EU Private EquityU</v>
          </cell>
          <cell r="C86">
            <v>0.12329800415121983</v>
          </cell>
          <cell r="D86">
            <v>0.11741290683088293</v>
          </cell>
          <cell r="F86">
            <v>0.13704025948467927</v>
          </cell>
          <cell r="G86">
            <v>0.13151680046259129</v>
          </cell>
        </row>
        <row r="87">
          <cell r="B87" t="str">
            <v>Hedge FundsH</v>
          </cell>
          <cell r="C87">
            <v>4.0387698900804736E-2</v>
          </cell>
          <cell r="D87">
            <v>3.887315970925953E-2</v>
          </cell>
          <cell r="F87">
            <v>4.2781676369377533E-2</v>
          </cell>
          <cell r="G87">
            <v>4.1330136584900035E-2</v>
          </cell>
        </row>
        <row r="88">
          <cell r="B88" t="str">
            <v>Hedge FundsU</v>
          </cell>
          <cell r="C88">
            <v>3.6835353565417339E-2</v>
          </cell>
          <cell r="D88">
            <v>4.5421659735803255E-2</v>
          </cell>
          <cell r="F88">
            <v>4.1204972106815452E-2</v>
          </cell>
          <cell r="G88">
            <v>4.9906268238817109E-2</v>
          </cell>
        </row>
        <row r="89">
          <cell r="B89" t="str">
            <v>GoldH</v>
          </cell>
          <cell r="C89">
            <v>5.1619147968620105E-2</v>
          </cell>
          <cell r="D89">
            <v>4.0675685622772129E-2</v>
          </cell>
          <cell r="F89">
            <v>6.1827988815139859E-2</v>
          </cell>
          <cell r="G89">
            <v>5.1153180175779245E-2</v>
          </cell>
        </row>
        <row r="90">
          <cell r="B90" t="str">
            <v>GoldU</v>
          </cell>
          <cell r="C90">
            <v>4.8028453481519628E-2</v>
          </cell>
          <cell r="D90">
            <v>4.7235547807325418E-2</v>
          </cell>
          <cell r="F90">
            <v>5.7974820448650377E-2</v>
          </cell>
          <cell r="G90">
            <v>5.7443661273591191E-2</v>
          </cell>
        </row>
        <row r="91">
          <cell r="B91" t="str">
            <v>CommodityH</v>
          </cell>
          <cell r="C91">
            <v>5.2876865568498133E-2</v>
          </cell>
          <cell r="D91">
            <v>5.3860717306637218E-2</v>
          </cell>
          <cell r="F91">
            <v>6.8981123713991205E-2</v>
          </cell>
          <cell r="G91">
            <v>7.0388771719116949E-2</v>
          </cell>
        </row>
        <row r="92">
          <cell r="B92" t="str">
            <v>CommodityU</v>
          </cell>
          <cell r="C92">
            <v>4.9281876675327796E-2</v>
          </cell>
          <cell r="D92">
            <v>6.0503690869634363E-2</v>
          </cell>
          <cell r="F92">
            <v>6.487327194653511E-2</v>
          </cell>
          <cell r="G92">
            <v>7.6505386016399765E-2</v>
          </cell>
        </row>
        <row r="93">
          <cell r="B93" t="str">
            <v>Liquid AltsH</v>
          </cell>
          <cell r="C93">
            <v>3.7076082023570489E-2</v>
          </cell>
          <cell r="D93">
            <v>3.5756614035400869E-2</v>
          </cell>
          <cell r="F93">
            <v>3.9517959292106122E-2</v>
          </cell>
          <cell r="G93">
            <v>3.8262751232055858E-2</v>
          </cell>
        </row>
        <row r="94">
          <cell r="B94" t="str">
            <v>Liquid AltsU</v>
          </cell>
          <cell r="C94">
            <v>3.3535044017920734E-2</v>
          </cell>
          <cell r="D94">
            <v>4.2285469027093736E-2</v>
          </cell>
          <cell r="F94">
            <v>3.9019228389552782E-2</v>
          </cell>
          <cell r="G94">
            <v>4.7913974040084517E-2</v>
          </cell>
        </row>
        <row r="95">
          <cell r="B95" t="str">
            <v>Basket</v>
          </cell>
          <cell r="C95">
            <v>4.8028453481519628E-2</v>
          </cell>
          <cell r="D95">
            <v>4.7235547807325418E-2</v>
          </cell>
          <cell r="F95">
            <v>5.7974820448650377E-2</v>
          </cell>
          <cell r="G95">
            <v>5.7443661273591191E-2</v>
          </cell>
        </row>
        <row r="96">
          <cell r="B96" t="str">
            <v>EMU Bond 10+ - Custom</v>
          </cell>
          <cell r="C96">
            <v>3.9754999999999999E-2</v>
          </cell>
          <cell r="D96">
            <v>4.1416000000000001E-2</v>
          </cell>
          <cell r="F96">
            <v>4.4304459781252976E-2</v>
          </cell>
          <cell r="G96">
            <v>4.6085182407075424E-2</v>
          </cell>
        </row>
        <row r="97">
          <cell r="B97" t="str">
            <v>Europe Equity - Custom</v>
          </cell>
          <cell r="C97">
            <v>8.0841675131395827E-2</v>
          </cell>
          <cell r="D97">
            <v>7.0222200414117031E-2</v>
          </cell>
          <cell r="F97">
            <v>9.2342610195416841E-2</v>
          </cell>
          <cell r="G97">
            <v>8.2025791664033329E-2</v>
          </cell>
        </row>
        <row r="98">
          <cell r="B98" t="str">
            <v>EU Private Equity - Custom</v>
          </cell>
          <cell r="C98">
            <v>0.12329800414840854</v>
          </cell>
          <cell r="D98">
            <v>0.11741290682797351</v>
          </cell>
          <cell r="F98">
            <v>0.15191124105197917</v>
          </cell>
          <cell r="G98">
            <v>0.14677912365005916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U, GERM, IT, FR, ES"/>
      <sheetName val="UK"/>
      <sheetName val="US"/>
      <sheetName val="JAP"/>
      <sheetName val="EMBIG"/>
      <sheetName val="GBI Global"/>
      <sheetName val="GBI Broad"/>
      <sheetName val="CN"/>
      <sheetName val="JPM_EMBI_Global_regional_"/>
      <sheetName val="JPM_SUBIDX_GBI_EMGLOBAL__2025"/>
      <sheetName val="JPM_COMP_GBI_EMBROAD__2025-07-0"/>
      <sheetName val="JPM_CEMBI_BROAD_Diversif_2025-0"/>
      <sheetName val="UK IL"/>
      <sheetName val="US IL"/>
      <sheetName val="EU IL"/>
      <sheetName val="IT IL"/>
      <sheetName val="EU IG, HY"/>
      <sheetName val="UK IG"/>
      <sheetName val="US IG, HY"/>
      <sheetName val="Global AGG"/>
      <sheetName val="Global AGG W"/>
      <sheetName val="US AGG"/>
      <sheetName val="EU AGG"/>
      <sheetName val="Global HY"/>
      <sheetName val="Global AGG Corp"/>
      <sheetName val="US Universal"/>
      <sheetName val="old GT"/>
      <sheetName val="Glo 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D9">
            <v>39430289452.31002</v>
          </cell>
        </row>
        <row r="10">
          <cell r="D10">
            <v>10953390612.999966</v>
          </cell>
        </row>
        <row r="15">
          <cell r="D15">
            <v>13318202929.110094</v>
          </cell>
        </row>
      </sheetData>
      <sheetData sheetId="20"/>
      <sheetData sheetId="21"/>
      <sheetData sheetId="22"/>
      <sheetData sheetId="23">
        <row r="8">
          <cell r="O8">
            <v>2762505550469.9961</v>
          </cell>
        </row>
        <row r="9">
          <cell r="O9">
            <v>755659992070.59998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ment"/>
      <sheetName val="official instruments"/>
      <sheetName val="List of BI (sorted)"/>
      <sheetName val="depository"/>
      <sheetName val="depository2 (13102020)"/>
      <sheetName val="original Aug 2022"/>
    </sheetNames>
    <sheetDataSet>
      <sheetData sheetId="0">
        <row r="125">
          <cell r="S125">
            <v>0.10280121229344394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</sheetPr>
  <dimension ref="A1:Q14"/>
  <sheetViews>
    <sheetView tabSelected="1" zoomScale="9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7" sqref="H7"/>
    </sheetView>
  </sheetViews>
  <sheetFormatPr defaultRowHeight="15" x14ac:dyDescent="0.25"/>
  <cols>
    <col min="1" max="1" width="37.140625" bestFit="1" customWidth="1"/>
    <col min="2" max="2" width="16.5703125" bestFit="1" customWidth="1"/>
    <col min="3" max="3" width="19.5703125" bestFit="1" customWidth="1"/>
    <col min="4" max="4" width="7" bestFit="1" customWidth="1"/>
    <col min="5" max="5" width="13.85546875" bestFit="1" customWidth="1"/>
    <col min="6" max="6" width="4.7109375" bestFit="1" customWidth="1"/>
    <col min="8" max="8" width="11" bestFit="1" customWidth="1"/>
    <col min="9" max="9" width="15.85546875" bestFit="1" customWidth="1"/>
    <col min="10" max="10" width="8" bestFit="1" customWidth="1"/>
    <col min="11" max="11" width="7.140625" bestFit="1" customWidth="1"/>
    <col min="12" max="12" width="9" bestFit="1" customWidth="1"/>
    <col min="15" max="16" width="6.140625" bestFit="1" customWidth="1"/>
    <col min="17" max="17" width="13.42578125" bestFit="1" customWidth="1"/>
  </cols>
  <sheetData>
    <row r="1" spans="1:17" x14ac:dyDescent="0.25">
      <c r="A1" s="3" t="s">
        <v>7</v>
      </c>
      <c r="B1" s="3" t="s">
        <v>2</v>
      </c>
      <c r="C1" s="3" t="s">
        <v>0</v>
      </c>
      <c r="D1" s="3" t="s">
        <v>8</v>
      </c>
      <c r="E1" s="3" t="s">
        <v>9</v>
      </c>
      <c r="F1" s="3" t="s">
        <v>10</v>
      </c>
      <c r="G1" s="3" t="s">
        <v>1</v>
      </c>
      <c r="H1" s="3" t="s">
        <v>12</v>
      </c>
      <c r="I1" s="3" t="s">
        <v>13</v>
      </c>
      <c r="J1" s="3" t="s">
        <v>53</v>
      </c>
      <c r="K1" s="3" t="s">
        <v>54</v>
      </c>
      <c r="L1" s="3" t="s">
        <v>37</v>
      </c>
      <c r="M1" s="3" t="s">
        <v>52</v>
      </c>
      <c r="N1" s="3" t="s">
        <v>22</v>
      </c>
      <c r="O1" s="4" t="s">
        <v>17</v>
      </c>
      <c r="P1" s="4" t="s">
        <v>15</v>
      </c>
      <c r="Q1" s="4" t="s">
        <v>55</v>
      </c>
    </row>
    <row r="2" spans="1:17" x14ac:dyDescent="0.25">
      <c r="A2" t="str" cm="1">
        <f t="array" ref="A2:A7">TRANSPOSE(timeseries!B1:G1)</f>
        <v>EUR Cash</v>
      </c>
      <c r="B2" s="4"/>
      <c r="C2" s="4"/>
      <c r="D2" s="4"/>
      <c r="E2" s="4"/>
      <c r="F2" t="s">
        <v>11</v>
      </c>
      <c r="G2" s="4"/>
      <c r="H2" s="4"/>
      <c r="I2" s="4"/>
      <c r="J2" s="26">
        <f>INDEX([1]Service_Arith_Geo!C:C, MATCH($A2, [1]Service_Arith_Geo!$B:$B, 0))</f>
        <v>1.9954588838674729E-2</v>
      </c>
      <c r="K2" s="26">
        <f>INDEX([1]Service_Arith_Geo!F:F, MATCH($A2, [1]Service_Arith_Geo!$B:$B, 0))</f>
        <v>1.999150077421126E-2</v>
      </c>
      <c r="L2" s="26">
        <f>INDEX([1]Service_Arith_Geo!D:D, MATCH($A2, [1]Service_Arith_Geo!$B:$B, 0))</f>
        <v>1.8946772350878355E-2</v>
      </c>
      <c r="M2" s="26">
        <f>INDEX([1]Service_Arith_Geo!G:G, MATCH($A2, [1]Service_Arith_Geo!$B:$B, 0))</f>
        <v>1.8984655653139532E-2</v>
      </c>
      <c r="N2" s="26">
        <f>SQRT(INDEX(cov!$B$2:$G$7,MATCH($A2,cov!$A$2:$A$7,0),MATCH($A2,cov!$A$2:$A$7,0)))</f>
        <v>8.8152900106374041E-3</v>
      </c>
      <c r="O2" t="s">
        <v>19</v>
      </c>
      <c r="P2" t="s">
        <v>19</v>
      </c>
      <c r="Q2" s="10">
        <v>0.1</v>
      </c>
    </row>
    <row r="3" spans="1:17" x14ac:dyDescent="0.25">
      <c r="A3" t="str">
        <v>EMU Bond All MaturityU</v>
      </c>
      <c r="F3" t="s">
        <v>11</v>
      </c>
      <c r="J3" s="26">
        <f>INDEX([1]Service_Arith_Geo!C:C, MATCH($A3, [1]Service_Arith_Geo!$B:$B, 0))</f>
        <v>3.5680264307945658E-2</v>
      </c>
      <c r="K3" s="26">
        <f>INDEX([1]Service_Arith_Geo!F:F, MATCH($A3, [1]Service_Arith_Geo!$B:$B, 0))</f>
        <v>3.6827391675730188E-2</v>
      </c>
      <c r="L3" s="26">
        <f>INDEX([1]Service_Arith_Geo!D:D, MATCH($A3, [1]Service_Arith_Geo!$B:$B, 0))</f>
        <v>3.4943409872125804E-2</v>
      </c>
      <c r="M3" s="26">
        <f>INDEX([1]Service_Arith_Geo!G:G, MATCH($A3, [1]Service_Arith_Geo!$B:$B, 0))</f>
        <v>3.612072480222045E-2</v>
      </c>
      <c r="N3" s="26">
        <f>SQRT(INDEX(cov!$B$2:$G$7,MATCH($A3,cov!$A$2:$A$7,0),MATCH($A3,cov!$A$2:$A$7,0)))</f>
        <v>4.914270021894946E-2</v>
      </c>
      <c r="O3" t="s">
        <v>19</v>
      </c>
      <c r="P3" t="s">
        <v>19</v>
      </c>
      <c r="Q3" s="10">
        <v>0.1</v>
      </c>
    </row>
    <row r="4" spans="1:17" x14ac:dyDescent="0.25">
      <c r="A4" t="str">
        <v>Barclays Global TreasuryH</v>
      </c>
      <c r="F4" t="s">
        <v>16</v>
      </c>
      <c r="J4" s="26">
        <f>INDEX([1]Service_Arith_Geo!C:C, MATCH($A4, [1]Service_Arith_Geo!$B:$B, 0))</f>
        <v>3.1236986104209219E-2</v>
      </c>
      <c r="K4" s="26">
        <f>INDEX([1]Service_Arith_Geo!F:F, MATCH($A4, [1]Service_Arith_Geo!$B:$B, 0))</f>
        <v>3.1939742180750796E-2</v>
      </c>
      <c r="L4" s="26">
        <f>INDEX([1]Service_Arith_Geo!D:D, MATCH($A4, [1]Service_Arith_Geo!$B:$B, 0))</f>
        <v>3.2076044247177471E-2</v>
      </c>
      <c r="M4" s="26">
        <f>INDEX([1]Service_Arith_Geo!G:G, MATCH($A4, [1]Service_Arith_Geo!$B:$B, 0))</f>
        <v>3.2797293904680669E-2</v>
      </c>
      <c r="N4" s="26">
        <f>SQRT(INDEX(cov!$B$2:$G$7,MATCH($A4,cov!$A$2:$A$7,0),MATCH($A4,cov!$A$2:$A$7,0)))</f>
        <v>3.846409334599795E-2</v>
      </c>
      <c r="O4" t="s">
        <v>19</v>
      </c>
      <c r="P4" t="s">
        <v>19</v>
      </c>
      <c r="Q4" s="10">
        <v>0.1</v>
      </c>
    </row>
    <row r="5" spans="1:17" x14ac:dyDescent="0.25">
      <c r="A5" t="str">
        <v>World EquityU</v>
      </c>
      <c r="F5" t="s">
        <v>11</v>
      </c>
      <c r="J5" s="26">
        <f>INDEX([1]Service_Arith_Geo!C:C, MATCH($A5, [1]Service_Arith_Geo!$B:$B, 0))</f>
        <v>6.483419569517479E-2</v>
      </c>
      <c r="K5" s="26">
        <f>INDEX([1]Service_Arith_Geo!F:F, MATCH($A5, [1]Service_Arith_Geo!$B:$B, 0))</f>
        <v>7.4823611043609323E-2</v>
      </c>
      <c r="L5" s="26">
        <f>INDEX([1]Service_Arith_Geo!D:D, MATCH($A5, [1]Service_Arith_Geo!$B:$B, 0))</f>
        <v>6.6589509737047248E-2</v>
      </c>
      <c r="M5" s="26">
        <f>INDEX([1]Service_Arith_Geo!G:G, MATCH($A5, [1]Service_Arith_Geo!$B:$B, 0))</f>
        <v>7.6841804436756367E-2</v>
      </c>
      <c r="N5" s="26">
        <f>SQRT(INDEX(cov!$B$2:$G$7,MATCH($A5,cov!$A$2:$A$7,0),MATCH($A5,cov!$A$2:$A$7,0)))</f>
        <v>0.14501844055832155</v>
      </c>
      <c r="O5" t="s">
        <v>19</v>
      </c>
      <c r="P5" t="s">
        <v>19</v>
      </c>
      <c r="Q5" s="10">
        <v>0.3</v>
      </c>
    </row>
    <row r="6" spans="1:17" x14ac:dyDescent="0.25">
      <c r="A6" t="str">
        <v>Global Private DebtH</v>
      </c>
      <c r="F6" t="s">
        <v>16</v>
      </c>
      <c r="J6" s="26">
        <f>INDEX([1]Service_Arith_Geo!C:C, MATCH($A6, [1]Service_Arith_Geo!$B:$B, 0))</f>
        <v>6.3317388574092526E-2</v>
      </c>
      <c r="K6" s="26">
        <f>INDEX([1]Service_Arith_Geo!F:F, MATCH($A6, [1]Service_Arith_Geo!$B:$B, 0))</f>
        <v>6.6978814159054836E-2</v>
      </c>
      <c r="L6" s="26">
        <f>INDEX([1]Service_Arith_Geo!D:D, MATCH($A6, [1]Service_Arith_Geo!$B:$B, 0))</f>
        <v>6.2922813876952199E-2</v>
      </c>
      <c r="M6" s="26">
        <f>INDEX([1]Service_Arith_Geo!G:G, MATCH($A6, [1]Service_Arith_Geo!$B:$B, 0))</f>
        <v>6.668059276678194E-2</v>
      </c>
      <c r="N6" s="26">
        <f>SQRT(INDEX(cov!$B$2:$G$7,MATCH($A6,cov!$A$2:$A$7,0),MATCH($A6,cov!$A$2:$A$7,0)))</f>
        <v>8.7796721974082559E-2</v>
      </c>
      <c r="O6" t="s">
        <v>19</v>
      </c>
      <c r="P6" t="s">
        <v>19</v>
      </c>
      <c r="Q6" s="10">
        <v>0.2</v>
      </c>
    </row>
    <row r="7" spans="1:17" x14ac:dyDescent="0.25">
      <c r="A7" t="str">
        <v>EU Private CreditH</v>
      </c>
      <c r="F7" t="s">
        <v>16</v>
      </c>
      <c r="J7" s="26">
        <f>INDEX([1]Service_Arith_Geo!C:C, MATCH($A7, [1]Service_Arith_Geo!$B:$B, 0))</f>
        <v>4.9326365133767529E-2</v>
      </c>
      <c r="K7" s="26">
        <f>INDEX([1]Service_Arith_Geo!F:F, MATCH($A7, [1]Service_Arith_Geo!$B:$B, 0))</f>
        <v>5.2448073949396344E-2</v>
      </c>
      <c r="L7" s="26">
        <f>INDEX([1]Service_Arith_Geo!D:D, MATCH($A7, [1]Service_Arith_Geo!$B:$B, 0))</f>
        <v>5.2363144218068224E-2</v>
      </c>
      <c r="M7" s="26">
        <f>INDEX([1]Service_Arith_Geo!G:G, MATCH($A7, [1]Service_Arith_Geo!$B:$B, 0))</f>
        <v>5.5567003265687274E-2</v>
      </c>
      <c r="N7" s="26">
        <f>SQRT(INDEX(cov!$B$2:$G$7,MATCH($A7,cov!$A$2:$A$7,0),MATCH($A7,cov!$A$2:$A$7,0)))</f>
        <v>8.1067987265125582E-2</v>
      </c>
      <c r="O7" t="s">
        <v>19</v>
      </c>
      <c r="P7" t="s">
        <v>19</v>
      </c>
      <c r="Q7" s="10">
        <v>0.2</v>
      </c>
    </row>
    <row r="10" spans="1:17" x14ac:dyDescent="0.25">
      <c r="M10" s="2"/>
      <c r="N10" s="2"/>
    </row>
    <row r="11" spans="1:17" x14ac:dyDescent="0.25">
      <c r="M11" s="2"/>
      <c r="N11" s="2"/>
    </row>
    <row r="12" spans="1:17" x14ac:dyDescent="0.25">
      <c r="M12" s="2"/>
      <c r="N12" s="2"/>
    </row>
    <row r="13" spans="1:17" x14ac:dyDescent="0.25">
      <c r="M13" s="2"/>
      <c r="N13" s="2"/>
    </row>
    <row r="14" spans="1:17" x14ac:dyDescent="0.25">
      <c r="M14" s="2"/>
      <c r="N1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16BD-E753-4150-8A27-F2C90E72840B}">
  <sheetPr codeName="Sheet1"/>
  <dimension ref="A1:R21"/>
  <sheetViews>
    <sheetView workbookViewId="0">
      <selection activeCell="B2" sqref="B2"/>
    </sheetView>
  </sheetViews>
  <sheetFormatPr defaultRowHeight="15" x14ac:dyDescent="0.25"/>
  <sheetData>
    <row r="1" spans="1:18" x14ac:dyDescent="0.25">
      <c r="A1">
        <v>-1</v>
      </c>
      <c r="B1">
        <v>-1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 s="9">
        <v>0</v>
      </c>
      <c r="K1" s="9">
        <v>0</v>
      </c>
      <c r="L1" s="9">
        <v>0</v>
      </c>
      <c r="M1" s="9">
        <v>0</v>
      </c>
      <c r="N1" s="9">
        <v>0</v>
      </c>
      <c r="O1" s="9">
        <v>0</v>
      </c>
      <c r="P1" s="9">
        <v>0</v>
      </c>
      <c r="Q1" s="9">
        <v>0</v>
      </c>
      <c r="R1" s="9">
        <v>0</v>
      </c>
    </row>
    <row r="2" spans="1:18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</row>
    <row r="3" spans="1:18" x14ac:dyDescent="0.25">
      <c r="A3">
        <v>0</v>
      </c>
      <c r="B3">
        <v>0</v>
      </c>
      <c r="C3">
        <v>-1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 x14ac:dyDescent="0.25">
      <c r="A5">
        <v>0</v>
      </c>
      <c r="B5">
        <v>0</v>
      </c>
      <c r="C5">
        <v>0</v>
      </c>
      <c r="D5">
        <v>-1</v>
      </c>
      <c r="E5">
        <v>-1</v>
      </c>
      <c r="F5">
        <v>0</v>
      </c>
      <c r="G5">
        <v>0</v>
      </c>
      <c r="H5">
        <v>0</v>
      </c>
      <c r="I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18" x14ac:dyDescent="0.25">
      <c r="A6">
        <v>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-1</v>
      </c>
      <c r="G7">
        <v>-1</v>
      </c>
      <c r="H7">
        <v>0</v>
      </c>
      <c r="I7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</row>
    <row r="8" spans="1:1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</v>
      </c>
      <c r="I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1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</row>
    <row r="12" spans="1:1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9">
        <v>-1</v>
      </c>
      <c r="K13" s="9">
        <v>-1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9">
        <v>1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9">
        <v>0</v>
      </c>
      <c r="K15" s="9">
        <v>0</v>
      </c>
      <c r="L15" s="9">
        <v>-1</v>
      </c>
      <c r="M15" s="9">
        <v>-1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</row>
    <row r="16" spans="1:1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9">
        <v>0</v>
      </c>
      <c r="K16" s="9">
        <v>0</v>
      </c>
      <c r="L16" s="9">
        <v>1</v>
      </c>
      <c r="M16" s="9">
        <v>1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9">
        <v>0</v>
      </c>
      <c r="K17" s="9">
        <v>0</v>
      </c>
      <c r="L17" s="9">
        <v>0</v>
      </c>
      <c r="M17" s="9">
        <v>0</v>
      </c>
      <c r="N17" s="9">
        <v>-1</v>
      </c>
      <c r="O17" s="9">
        <v>-1</v>
      </c>
      <c r="P17" s="9">
        <v>0</v>
      </c>
      <c r="Q17" s="9">
        <v>0</v>
      </c>
      <c r="R17" s="9">
        <v>0</v>
      </c>
    </row>
    <row r="18" spans="1:1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-1</v>
      </c>
      <c r="Q19" s="9">
        <v>-1</v>
      </c>
      <c r="R19" s="9">
        <v>0</v>
      </c>
    </row>
    <row r="20" spans="1:1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1</v>
      </c>
      <c r="R20" s="9">
        <v>0</v>
      </c>
    </row>
    <row r="21" spans="1:1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9EA3-3F92-4629-9645-7038CDD50208}">
  <sheetPr codeName="Sheet2"/>
  <dimension ref="A1:A21"/>
  <sheetViews>
    <sheetView workbookViewId="0">
      <selection activeCell="E12" sqref="E12"/>
    </sheetView>
  </sheetViews>
  <sheetFormatPr defaultRowHeight="15" x14ac:dyDescent="0.25"/>
  <sheetData>
    <row r="1" spans="1:1" x14ac:dyDescent="0.25">
      <c r="A1" s="5" t="e">
        <f>-asset_config!#REF!</f>
        <v>#REF!</v>
      </c>
    </row>
    <row r="2" spans="1:1" x14ac:dyDescent="0.25">
      <c r="A2" t="e">
        <f>-A1</f>
        <v>#REF!</v>
      </c>
    </row>
    <row r="3" spans="1:1" x14ac:dyDescent="0.25">
      <c r="A3" s="5" t="e">
        <f>-asset_config!#REF!</f>
        <v>#REF!</v>
      </c>
    </row>
    <row r="4" spans="1:1" x14ac:dyDescent="0.25">
      <c r="A4" t="e">
        <f>-A3</f>
        <v>#REF!</v>
      </c>
    </row>
    <row r="5" spans="1:1" x14ac:dyDescent="0.25">
      <c r="A5" s="5" t="e">
        <f>-asset_config!#REF!</f>
        <v>#REF!</v>
      </c>
    </row>
    <row r="6" spans="1:1" x14ac:dyDescent="0.25">
      <c r="A6" t="e">
        <f>-A5</f>
        <v>#REF!</v>
      </c>
    </row>
    <row r="7" spans="1:1" x14ac:dyDescent="0.25">
      <c r="A7" s="5" t="e">
        <f>-asset_config!#REF!</f>
        <v>#REF!</v>
      </c>
    </row>
    <row r="8" spans="1:1" x14ac:dyDescent="0.25">
      <c r="A8" t="e">
        <f>-A7</f>
        <v>#REF!</v>
      </c>
    </row>
    <row r="9" spans="1:1" x14ac:dyDescent="0.25">
      <c r="A9" s="5" t="e">
        <f>-asset_config!#REF!</f>
        <v>#REF!</v>
      </c>
    </row>
    <row r="10" spans="1:1" x14ac:dyDescent="0.25">
      <c r="A10" t="e">
        <f>-A9</f>
        <v>#REF!</v>
      </c>
    </row>
    <row r="11" spans="1:1" x14ac:dyDescent="0.25">
      <c r="A11" s="5" t="e">
        <f>-asset_config!#REF!</f>
        <v>#REF!</v>
      </c>
    </row>
    <row r="12" spans="1:1" x14ac:dyDescent="0.25">
      <c r="A12" t="e">
        <f>-A11</f>
        <v>#REF!</v>
      </c>
    </row>
    <row r="13" spans="1:1" x14ac:dyDescent="0.25">
      <c r="A13" s="5" t="e">
        <f>-asset_config!#REF!</f>
        <v>#REF!</v>
      </c>
    </row>
    <row r="14" spans="1:1" x14ac:dyDescent="0.25">
      <c r="A14" t="e">
        <f>-A13</f>
        <v>#REF!</v>
      </c>
    </row>
    <row r="15" spans="1:1" x14ac:dyDescent="0.25">
      <c r="A15" s="5" t="e">
        <f>-asset_config!#REF!</f>
        <v>#REF!</v>
      </c>
    </row>
    <row r="16" spans="1:1" x14ac:dyDescent="0.25">
      <c r="A16" t="e">
        <f>-A15</f>
        <v>#REF!</v>
      </c>
    </row>
    <row r="17" spans="1:1" x14ac:dyDescent="0.25">
      <c r="A17" s="5" t="e">
        <f>-asset_config!#REF!</f>
        <v>#REF!</v>
      </c>
    </row>
    <row r="18" spans="1:1" x14ac:dyDescent="0.25">
      <c r="A18" t="e">
        <f>-A17</f>
        <v>#REF!</v>
      </c>
    </row>
    <row r="19" spans="1:1" x14ac:dyDescent="0.25">
      <c r="A19" s="5" t="e">
        <f>-asset_config!#REF!</f>
        <v>#REF!</v>
      </c>
    </row>
    <row r="20" spans="1:1" x14ac:dyDescent="0.25">
      <c r="A20" t="e">
        <f>-A19</f>
        <v>#REF!</v>
      </c>
    </row>
    <row r="21" spans="1:1" x14ac:dyDescent="0.25">
      <c r="A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7E4-762E-493A-93D3-D71C1F08B6D1}">
  <sheetPr codeName="Sheet3"/>
  <dimension ref="A1:G95"/>
  <sheetViews>
    <sheetView workbookViewId="0">
      <selection activeCell="A2" sqref="A2"/>
    </sheetView>
  </sheetViews>
  <sheetFormatPr defaultRowHeight="15" x14ac:dyDescent="0.25"/>
  <cols>
    <col min="1" max="1" width="10.7109375" style="1" bestFit="1" customWidth="1"/>
    <col min="2" max="2" width="10.7109375" style="1" customWidth="1"/>
    <col min="3" max="3" width="22.5703125" bestFit="1" customWidth="1"/>
    <col min="4" max="4" width="24" bestFit="1" customWidth="1"/>
    <col min="5" max="5" width="13.85546875" bestFit="1" customWidth="1"/>
    <col min="6" max="6" width="19.7109375" bestFit="1" customWidth="1"/>
    <col min="7" max="7" width="17.42578125" bestFit="1" customWidth="1"/>
  </cols>
  <sheetData>
    <row r="1" spans="1:7" x14ac:dyDescent="0.25">
      <c r="A1" s="6" t="s">
        <v>5</v>
      </c>
      <c r="B1" s="6" t="s">
        <v>61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25">
      <c r="A2" s="1">
        <v>37802</v>
      </c>
      <c r="B2" s="27">
        <v>7.3383517864986647E-3</v>
      </c>
      <c r="C2">
        <v>1.878077701775549E-2</v>
      </c>
      <c r="D2">
        <v>1.6724758755511271E-2</v>
      </c>
      <c r="E2">
        <v>-8.7251852983494582E-2</v>
      </c>
      <c r="F2">
        <v>3.2875000000001098E-3</v>
      </c>
      <c r="G2">
        <v>-2.0000000000000018E-3</v>
      </c>
    </row>
    <row r="3" spans="1:7" x14ac:dyDescent="0.25">
      <c r="A3" s="1">
        <v>37894</v>
      </c>
      <c r="B3" s="27">
        <v>6.7323234221705608E-3</v>
      </c>
      <c r="C3">
        <v>2.2617534942820816E-2</v>
      </c>
      <c r="D3">
        <v>1.8986879822689318E-2</v>
      </c>
      <c r="E3">
        <v>0.10981003710729786</v>
      </c>
      <c r="F3">
        <v>3.0137500000000372E-3</v>
      </c>
      <c r="G3">
        <v>1.0999999999999899E-2</v>
      </c>
    </row>
    <row r="4" spans="1:7" x14ac:dyDescent="0.25">
      <c r="A4" s="1">
        <v>37986</v>
      </c>
      <c r="B4" s="27">
        <v>5.5260789855908765E-3</v>
      </c>
      <c r="C4">
        <v>1.7495029821072983E-3</v>
      </c>
      <c r="D4">
        <v>-5.7961634615386615E-3</v>
      </c>
      <c r="E4">
        <v>3.5343915698346606E-2</v>
      </c>
      <c r="F4">
        <v>2.7109999999999079E-3</v>
      </c>
      <c r="G4">
        <v>1.8000000000000016E-2</v>
      </c>
    </row>
    <row r="5" spans="1:7" x14ac:dyDescent="0.25">
      <c r="A5" s="1">
        <v>38077</v>
      </c>
      <c r="B5" s="27">
        <v>5.5774022376449128E-3</v>
      </c>
      <c r="C5">
        <v>-3.7012780820829816E-3</v>
      </c>
      <c r="D5">
        <v>1.8690477752425494E-3</v>
      </c>
      <c r="E5">
        <v>5.7519873344335171E-2</v>
      </c>
      <c r="F5">
        <v>2.8497499999999842E-3</v>
      </c>
      <c r="G5">
        <v>1.0999999999999899E-2</v>
      </c>
    </row>
    <row r="6" spans="1:7" x14ac:dyDescent="0.25">
      <c r="A6" s="1">
        <v>38168</v>
      </c>
      <c r="B6" s="27">
        <v>5.6166290624550808E-3</v>
      </c>
      <c r="C6">
        <v>2.9600709142157067E-2</v>
      </c>
      <c r="D6">
        <v>2.166041734643942E-2</v>
      </c>
      <c r="E6">
        <v>4.9468947329593504E-2</v>
      </c>
      <c r="F6">
        <v>2.3637499999999978E-3</v>
      </c>
      <c r="G6">
        <v>2.4999999999999911E-2</v>
      </c>
    </row>
    <row r="7" spans="1:7" x14ac:dyDescent="0.25">
      <c r="A7" s="1">
        <v>38260</v>
      </c>
      <c r="B7" s="27">
        <v>4.9279534671933245E-3</v>
      </c>
      <c r="C7">
        <v>-9.6203143893591747E-3</v>
      </c>
      <c r="D7">
        <v>-1.3039358103241305E-2</v>
      </c>
      <c r="E7">
        <v>1.8175847693837399E-2</v>
      </c>
      <c r="F7">
        <v>1.8745000000000012E-3</v>
      </c>
      <c r="G7">
        <v>1.4000000000000012E-2</v>
      </c>
    </row>
    <row r="8" spans="1:7" x14ac:dyDescent="0.25">
      <c r="A8" s="1">
        <v>38352</v>
      </c>
      <c r="B8" s="27">
        <v>5.4811339369889023E-3</v>
      </c>
      <c r="C8">
        <v>2.7353841796045053E-2</v>
      </c>
      <c r="D8">
        <v>2.6835221037452284E-2</v>
      </c>
      <c r="E8">
        <v>-2.8740077304817091E-2</v>
      </c>
      <c r="F8">
        <v>8.1675000000003273E-4</v>
      </c>
      <c r="G8">
        <v>6.9999999999998952E-3</v>
      </c>
    </row>
    <row r="9" spans="1:7" x14ac:dyDescent="0.25">
      <c r="A9" s="1">
        <v>38442</v>
      </c>
      <c r="B9" s="27">
        <v>5.6256950349971024E-3</v>
      </c>
      <c r="C9">
        <v>2.8431941130051985E-2</v>
      </c>
      <c r="D9">
        <v>1.7205677329954705E-2</v>
      </c>
      <c r="E9">
        <v>2.7147435163880074E-2</v>
      </c>
      <c r="F9">
        <v>-4.4425000000003489E-4</v>
      </c>
      <c r="G9">
        <v>6.9999999999998952E-3</v>
      </c>
    </row>
    <row r="10" spans="1:7" x14ac:dyDescent="0.25">
      <c r="A10" s="1">
        <v>38533</v>
      </c>
      <c r="B10" s="27">
        <v>5.4821946124878895E-3</v>
      </c>
      <c r="C10">
        <v>1.2928544024997324E-2</v>
      </c>
      <c r="D10">
        <v>7.1056845627137655E-3</v>
      </c>
      <c r="E10">
        <v>3.3775088821946797E-2</v>
      </c>
      <c r="F10">
        <v>3.2584651809633103E-2</v>
      </c>
      <c r="G10">
        <v>2.200000000000002E-2</v>
      </c>
    </row>
    <row r="11" spans="1:7" x14ac:dyDescent="0.25">
      <c r="A11" s="1">
        <v>38625</v>
      </c>
      <c r="B11" s="27">
        <v>5.5356879715058316E-3</v>
      </c>
      <c r="C11">
        <v>3.802591950351375E-2</v>
      </c>
      <c r="D11">
        <v>2.9363221350350965E-2</v>
      </c>
      <c r="E11">
        <v>7.5423126775382654E-2</v>
      </c>
      <c r="F11">
        <v>4.8215035745685642E-2</v>
      </c>
      <c r="G11">
        <v>1.2999999999999901E-2</v>
      </c>
    </row>
    <row r="12" spans="1:7" x14ac:dyDescent="0.25">
      <c r="A12" s="1">
        <v>38716</v>
      </c>
      <c r="B12" s="27">
        <v>5.3286399743790458E-3</v>
      </c>
      <c r="C12">
        <v>4.4444835211212563E-3</v>
      </c>
      <c r="D12">
        <v>-3.8109313410533696E-3</v>
      </c>
      <c r="E12">
        <v>7.6937009761257391E-2</v>
      </c>
      <c r="F12">
        <v>5.2206757471803034E-2</v>
      </c>
      <c r="G12">
        <v>1.0999999999999899E-2</v>
      </c>
    </row>
    <row r="13" spans="1:7" x14ac:dyDescent="0.25">
      <c r="A13" s="1">
        <v>38807</v>
      </c>
      <c r="B13" s="27">
        <v>5.4326570955196551E-3</v>
      </c>
      <c r="C13">
        <v>-3.1512053360410741E-3</v>
      </c>
      <c r="D13">
        <v>3.7825216676627971E-3</v>
      </c>
      <c r="E13">
        <v>4.6080331448983936E-2</v>
      </c>
      <c r="F13">
        <v>5.2010772880789258E-2</v>
      </c>
      <c r="G13">
        <v>1.2999999999999901E-2</v>
      </c>
    </row>
    <row r="14" spans="1:7" x14ac:dyDescent="0.25">
      <c r="A14" s="1">
        <v>38898</v>
      </c>
      <c r="B14" s="27">
        <v>6.1671204780930911E-3</v>
      </c>
      <c r="C14">
        <v>-1.8633322210709347E-2</v>
      </c>
      <c r="D14">
        <v>-1.2867576304476547E-2</v>
      </c>
      <c r="E14">
        <v>4.2541537578163924E-2</v>
      </c>
      <c r="F14">
        <v>5.3345366771678115E-2</v>
      </c>
      <c r="G14">
        <v>1.6000000000000014E-2</v>
      </c>
    </row>
    <row r="15" spans="1:7" x14ac:dyDescent="0.25">
      <c r="A15" s="1">
        <v>38989</v>
      </c>
      <c r="B15" s="27">
        <v>7.1907048015351638E-3</v>
      </c>
      <c r="C15">
        <v>-8.5943092340731164E-3</v>
      </c>
      <c r="D15">
        <v>-5.6514697071569087E-3</v>
      </c>
      <c r="E15">
        <v>-5.7679092429182788E-2</v>
      </c>
      <c r="F15">
        <v>6.921232359469931E-2</v>
      </c>
      <c r="G15">
        <v>1.4000000000000012E-2</v>
      </c>
    </row>
    <row r="16" spans="1:7" x14ac:dyDescent="0.25">
      <c r="A16" s="1">
        <v>39080</v>
      </c>
      <c r="B16" s="27">
        <v>7.7500174471352157E-3</v>
      </c>
      <c r="C16">
        <v>2.9675224166174186E-2</v>
      </c>
      <c r="D16">
        <v>2.944856249065908E-2</v>
      </c>
      <c r="E16">
        <v>5.4290396294819354E-2</v>
      </c>
      <c r="F16">
        <v>6.6069754915409229E-2</v>
      </c>
      <c r="G16">
        <v>1.6000000000000014E-2</v>
      </c>
    </row>
    <row r="17" spans="1:7" x14ac:dyDescent="0.25">
      <c r="A17" s="1">
        <v>39171</v>
      </c>
      <c r="B17" s="27">
        <v>8.718806375324295E-3</v>
      </c>
      <c r="C17">
        <v>-4.3212446587049813E-3</v>
      </c>
      <c r="D17">
        <v>3.8676906672450162E-3</v>
      </c>
      <c r="E17">
        <v>4.0692820302667299E-2</v>
      </c>
      <c r="F17">
        <v>5.5532636287277226E-2</v>
      </c>
      <c r="G17">
        <v>1.6000000000000014E-2</v>
      </c>
    </row>
    <row r="18" spans="1:7" x14ac:dyDescent="0.25">
      <c r="A18" s="1">
        <v>39262</v>
      </c>
      <c r="B18" s="27">
        <v>9.4844483195397622E-3</v>
      </c>
      <c r="C18">
        <v>1.3116832240998022E-3</v>
      </c>
      <c r="D18">
        <v>7.4261459469153746E-3</v>
      </c>
      <c r="E18">
        <v>1.2925926172872915E-2</v>
      </c>
      <c r="F18">
        <v>7.6302503405155209E-2</v>
      </c>
      <c r="G18">
        <v>1.4000000000000012E-2</v>
      </c>
    </row>
    <row r="19" spans="1:7" x14ac:dyDescent="0.25">
      <c r="A19" s="1">
        <v>39353</v>
      </c>
      <c r="B19" s="27">
        <v>9.9774892716999464E-3</v>
      </c>
      <c r="C19">
        <v>-1.8818657769455016E-2</v>
      </c>
      <c r="D19">
        <v>-9.4387733371193994E-3</v>
      </c>
      <c r="E19">
        <v>5.0427413173568691E-2</v>
      </c>
      <c r="F19">
        <v>8.3426566812260461E-2</v>
      </c>
      <c r="G19">
        <v>1.4999999999999902E-2</v>
      </c>
    </row>
    <row r="20" spans="1:7" x14ac:dyDescent="0.25">
      <c r="A20" s="1">
        <v>39447</v>
      </c>
      <c r="B20" s="27">
        <v>1.0608512262967329E-2</v>
      </c>
      <c r="C20">
        <v>2.4255620368628161E-2</v>
      </c>
      <c r="D20">
        <v>2.9897734086682837E-2</v>
      </c>
      <c r="E20">
        <v>-2.8535620200396572E-2</v>
      </c>
      <c r="F20">
        <v>-6.6287838965294332E-3</v>
      </c>
      <c r="G20">
        <v>-3.7000000000000033E-2</v>
      </c>
    </row>
    <row r="21" spans="1:7" x14ac:dyDescent="0.25">
      <c r="A21" s="1">
        <v>39538</v>
      </c>
      <c r="B21" s="27">
        <v>1.3379547591991336E-2</v>
      </c>
      <c r="C21">
        <v>1.1390079608083248E-2</v>
      </c>
      <c r="D21">
        <v>2.4128967078760777E-2</v>
      </c>
      <c r="E21">
        <v>-4.565112145868333E-2</v>
      </c>
      <c r="F21">
        <v>2.4459865079082599E-2</v>
      </c>
      <c r="G21">
        <v>2.9999999999998916E-3</v>
      </c>
    </row>
    <row r="22" spans="1:7" x14ac:dyDescent="0.25">
      <c r="A22" s="1">
        <v>39629</v>
      </c>
      <c r="B22" s="27">
        <v>1.2110465009244509E-2</v>
      </c>
      <c r="C22">
        <v>2.3328028232363351E-2</v>
      </c>
      <c r="D22">
        <v>3.2083801643352006E-2</v>
      </c>
      <c r="E22">
        <v>-0.1596861315976017</v>
      </c>
      <c r="F22">
        <v>-3.4803610969169729E-2</v>
      </c>
      <c r="G22">
        <v>-8.5999999999999965E-2</v>
      </c>
    </row>
    <row r="23" spans="1:7" x14ac:dyDescent="0.25">
      <c r="A23" s="1">
        <v>39721</v>
      </c>
      <c r="B23" s="27">
        <v>1.3141388976408486E-2</v>
      </c>
      <c r="C23">
        <v>-3.0107599590901812E-2</v>
      </c>
      <c r="D23">
        <v>-1.6558844136926432E-2</v>
      </c>
      <c r="E23">
        <v>-1.4603353680468167E-2</v>
      </c>
      <c r="F23">
        <v>8.6160185137287515E-2</v>
      </c>
      <c r="G23">
        <v>5.2999999999999936E-2</v>
      </c>
    </row>
    <row r="24" spans="1:7" x14ac:dyDescent="0.25">
      <c r="A24" s="1">
        <v>39813</v>
      </c>
      <c r="B24" s="27">
        <v>1.3382907017602363E-2</v>
      </c>
      <c r="C24">
        <v>3.9286430146321827E-2</v>
      </c>
      <c r="D24">
        <v>3.1091125287901367E-2</v>
      </c>
      <c r="E24">
        <v>-5.2532301065290166E-2</v>
      </c>
      <c r="F24">
        <v>-4.6659577772268479E-2</v>
      </c>
      <c r="G24">
        <v>-5.0000000000000155E-2</v>
      </c>
    </row>
    <row r="25" spans="1:7" x14ac:dyDescent="0.25">
      <c r="A25" s="1">
        <v>39903</v>
      </c>
      <c r="B25" s="27">
        <v>1.7640074523762372E-2</v>
      </c>
      <c r="C25">
        <v>6.026162425055559E-2</v>
      </c>
      <c r="D25">
        <v>6.5683941747572749E-2</v>
      </c>
      <c r="E25">
        <v>-0.21112494523712766</v>
      </c>
      <c r="F25">
        <v>-0.17535834454739196</v>
      </c>
      <c r="G25">
        <v>-0.23699999999999999</v>
      </c>
    </row>
    <row r="26" spans="1:7" x14ac:dyDescent="0.25">
      <c r="A26" s="1">
        <v>39994</v>
      </c>
      <c r="B26" s="27">
        <v>9.6510974688097662E-3</v>
      </c>
      <c r="C26">
        <v>8.1697860275304901E-3</v>
      </c>
      <c r="D26">
        <v>-1.3563258928571686E-3</v>
      </c>
      <c r="E26">
        <v>-7.1113271367386766E-2</v>
      </c>
      <c r="F26">
        <v>0.12063559089291043</v>
      </c>
      <c r="G26">
        <v>-3.8000000000000034E-2</v>
      </c>
    </row>
    <row r="27" spans="1:7" x14ac:dyDescent="0.25">
      <c r="A27" s="1">
        <v>40086</v>
      </c>
      <c r="B27" s="27">
        <v>5.8207830652901027E-3</v>
      </c>
      <c r="C27">
        <v>5.9815884745575421E-3</v>
      </c>
      <c r="D27">
        <v>-3.8938327303350562E-3</v>
      </c>
      <c r="E27">
        <v>0.14011966845966972</v>
      </c>
      <c r="F27">
        <v>6.1464598016379268E-2</v>
      </c>
      <c r="G27">
        <v>6.4000000000000057E-2</v>
      </c>
    </row>
    <row r="28" spans="1:7" x14ac:dyDescent="0.25">
      <c r="A28" s="1">
        <v>40178</v>
      </c>
      <c r="B28" s="27">
        <v>4.4624694290078537E-3</v>
      </c>
      <c r="C28">
        <v>2.9784695524692539E-2</v>
      </c>
      <c r="D28">
        <v>2.0764296963144302E-2</v>
      </c>
      <c r="E28">
        <v>0.12584381680691825</v>
      </c>
      <c r="F28">
        <v>8.8527832969213183E-2</v>
      </c>
      <c r="G28">
        <v>0.1140000000000001</v>
      </c>
    </row>
    <row r="29" spans="1:7" x14ac:dyDescent="0.25">
      <c r="A29" s="1">
        <v>40268</v>
      </c>
      <c r="B29" s="27">
        <v>2.9934590086291291E-3</v>
      </c>
      <c r="C29">
        <v>-1.1245186719321953E-3</v>
      </c>
      <c r="D29">
        <v>-1.4869675268815996E-3</v>
      </c>
      <c r="E29">
        <v>6.3098493022525348E-2</v>
      </c>
      <c r="F29">
        <v>6.7075026521331793E-2</v>
      </c>
      <c r="G29">
        <v>9.000000000000008E-2</v>
      </c>
    </row>
    <row r="30" spans="1:7" x14ac:dyDescent="0.25">
      <c r="A30" s="1">
        <v>40359</v>
      </c>
      <c r="B30" s="27">
        <v>2.6821830362786514E-3</v>
      </c>
      <c r="C30">
        <v>2.3406465112047803E-2</v>
      </c>
      <c r="D30">
        <v>1.2598244303485773E-2</v>
      </c>
      <c r="E30">
        <v>9.5121410622731828E-2</v>
      </c>
      <c r="F30">
        <v>6.7007997447044554E-2</v>
      </c>
      <c r="G30">
        <v>3.0000000000000027E-2</v>
      </c>
    </row>
    <row r="31" spans="1:7" x14ac:dyDescent="0.25">
      <c r="A31" s="1">
        <v>40451</v>
      </c>
      <c r="B31" s="27">
        <v>2.3501402962540219E-3</v>
      </c>
      <c r="C31">
        <v>4.9520169190824248E-3</v>
      </c>
      <c r="D31">
        <v>2.4245234150644723E-2</v>
      </c>
      <c r="E31">
        <v>-3.5818445614575034E-2</v>
      </c>
      <c r="F31">
        <v>8.0647276282223235E-2</v>
      </c>
      <c r="G31">
        <v>-4.2000000000000037E-2</v>
      </c>
    </row>
    <row r="32" spans="1:7" x14ac:dyDescent="0.25">
      <c r="A32" s="1">
        <v>40543</v>
      </c>
      <c r="B32" s="27">
        <v>2.9520268427642993E-3</v>
      </c>
      <c r="C32">
        <v>2.3893590045996005E-2</v>
      </c>
      <c r="D32">
        <v>2.2646800314932269E-2</v>
      </c>
      <c r="E32">
        <v>2.1081776059582502E-2</v>
      </c>
      <c r="F32">
        <v>6.4219384327298012E-2</v>
      </c>
      <c r="G32">
        <v>0.10400000000000009</v>
      </c>
    </row>
    <row r="33" spans="1:7" x14ac:dyDescent="0.25">
      <c r="A33" s="1">
        <v>40633</v>
      </c>
      <c r="B33" s="27">
        <v>3.173644282948862E-3</v>
      </c>
      <c r="C33">
        <v>-3.5192990918286093E-2</v>
      </c>
      <c r="D33">
        <v>-2.0900193195696359E-2</v>
      </c>
      <c r="E33">
        <v>0.10985278486497352</v>
      </c>
      <c r="F33">
        <v>9.632095968722254E-2</v>
      </c>
      <c r="G33">
        <v>8.5999999999999854E-2</v>
      </c>
    </row>
    <row r="34" spans="1:7" x14ac:dyDescent="0.25">
      <c r="A34" s="1">
        <v>40724</v>
      </c>
      <c r="B34" s="27">
        <v>2.9319230133568741E-3</v>
      </c>
      <c r="C34">
        <v>-1.2050709984554264E-2</v>
      </c>
      <c r="D34">
        <v>-4.5945120215168389E-3</v>
      </c>
      <c r="E34">
        <v>-9.1319111549612586E-3</v>
      </c>
      <c r="F34">
        <v>7.5581700130185059E-2</v>
      </c>
      <c r="G34">
        <v>6.4000000000000057E-2</v>
      </c>
    </row>
    <row r="35" spans="1:7" x14ac:dyDescent="0.25">
      <c r="A35" s="1">
        <v>40816</v>
      </c>
      <c r="B35" s="27">
        <v>3.6786835598079382E-3</v>
      </c>
      <c r="C35">
        <v>1.1774746605036412E-2</v>
      </c>
      <c r="D35">
        <v>1.8653159986839807E-2</v>
      </c>
      <c r="E35">
        <v>-1.9188254145075412E-2</v>
      </c>
      <c r="F35">
        <v>3.9220569629504043E-2</v>
      </c>
      <c r="G35">
        <v>3.2999999999999918E-2</v>
      </c>
    </row>
    <row r="36" spans="1:7" x14ac:dyDescent="0.25">
      <c r="A36" s="1">
        <v>40907</v>
      </c>
      <c r="B36" s="27">
        <v>4.7819552014471967E-3</v>
      </c>
      <c r="C36">
        <v>3.9772769686699627E-2</v>
      </c>
      <c r="D36">
        <v>3.9047198038753672E-2</v>
      </c>
      <c r="E36">
        <v>-9.6975439943299491E-2</v>
      </c>
      <c r="F36">
        <v>-2.3544807761838316E-2</v>
      </c>
      <c r="G36">
        <v>-7.3000000000000065E-2</v>
      </c>
    </row>
    <row r="37" spans="1:7" x14ac:dyDescent="0.25">
      <c r="A37" s="1">
        <v>40998</v>
      </c>
      <c r="B37" s="27">
        <v>5.3379419020862517E-3</v>
      </c>
      <c r="C37">
        <v>-2.5953233923711183E-3</v>
      </c>
      <c r="D37">
        <v>6.8532920118009599E-3</v>
      </c>
      <c r="E37">
        <v>0.11133826015691883</v>
      </c>
      <c r="F37">
        <v>9.5434783696584535E-2</v>
      </c>
      <c r="G37">
        <v>4.9999999999998934E-3</v>
      </c>
    </row>
    <row r="38" spans="1:7" x14ac:dyDescent="0.25">
      <c r="A38" s="1">
        <v>41089</v>
      </c>
      <c r="B38" s="27">
        <v>5.6391038547274341E-3</v>
      </c>
      <c r="C38">
        <v>3.4935487934354192E-2</v>
      </c>
      <c r="D38">
        <v>5.6385795774647196E-3</v>
      </c>
      <c r="E38">
        <v>8.3971262526715273E-2</v>
      </c>
      <c r="F38">
        <v>8.4379025152091502E-2</v>
      </c>
      <c r="G38">
        <v>4.0000000000000036E-2</v>
      </c>
    </row>
    <row r="39" spans="1:7" x14ac:dyDescent="0.25">
      <c r="A39" s="1">
        <v>41180</v>
      </c>
      <c r="B39" s="27">
        <v>3.2345436448872888E-3</v>
      </c>
      <c r="C39">
        <v>1.4779421481281307E-3</v>
      </c>
      <c r="D39">
        <v>1.6259194369747876E-2</v>
      </c>
      <c r="E39">
        <v>4.9971620039324094E-4</v>
      </c>
      <c r="F39">
        <v>3.6713629620674926E-2</v>
      </c>
      <c r="G39">
        <v>-2.0000000000000018E-3</v>
      </c>
    </row>
    <row r="40" spans="1:7" x14ac:dyDescent="0.25">
      <c r="A40" s="1">
        <v>41274</v>
      </c>
      <c r="B40" s="27">
        <v>2.3444914410244433E-3</v>
      </c>
      <c r="C40">
        <v>3.6279415390277903E-2</v>
      </c>
      <c r="D40">
        <v>1.448631981038484E-2</v>
      </c>
      <c r="E40">
        <v>5.0584427082314587E-2</v>
      </c>
      <c r="F40">
        <v>8.5127149354810916E-2</v>
      </c>
      <c r="G40">
        <v>5.2000000000000046E-2</v>
      </c>
    </row>
    <row r="41" spans="1:7" x14ac:dyDescent="0.25">
      <c r="A41" s="1">
        <v>41362</v>
      </c>
      <c r="B41" s="27">
        <v>6.7329755660794355E-4</v>
      </c>
      <c r="C41">
        <v>3.002998978001914E-2</v>
      </c>
      <c r="D41">
        <v>7.4703698392002416E-3</v>
      </c>
      <c r="E41">
        <v>-1.082163183921514E-3</v>
      </c>
      <c r="F41">
        <v>5.9119210868865846E-2</v>
      </c>
      <c r="G41">
        <v>2.6000000000000023E-2</v>
      </c>
    </row>
    <row r="42" spans="1:7" x14ac:dyDescent="0.25">
      <c r="A42" s="1">
        <v>41453</v>
      </c>
      <c r="B42" s="27">
        <v>6.0042029420603882E-4</v>
      </c>
      <c r="C42">
        <v>2.7619007342296609E-3</v>
      </c>
      <c r="D42">
        <v>8.1152748274748721E-3</v>
      </c>
      <c r="E42">
        <v>0.10888443983366702</v>
      </c>
      <c r="F42">
        <v>6.4014568321158816E-2</v>
      </c>
      <c r="G42">
        <v>1.0999999999999899E-2</v>
      </c>
    </row>
    <row r="43" spans="1:7" x14ac:dyDescent="0.25">
      <c r="A43" s="1">
        <v>41547</v>
      </c>
      <c r="B43" s="27">
        <v>5.0754102647609933E-4</v>
      </c>
      <c r="C43">
        <v>-2.9327225657429512E-3</v>
      </c>
      <c r="D43">
        <v>-1.5189800518688901E-2</v>
      </c>
      <c r="E43">
        <v>-8.3805076066933992E-3</v>
      </c>
      <c r="F43">
        <v>4.7665586766040269E-2</v>
      </c>
      <c r="G43">
        <v>8.0000000000000071E-3</v>
      </c>
    </row>
    <row r="44" spans="1:7" x14ac:dyDescent="0.25">
      <c r="A44" s="1">
        <v>41639</v>
      </c>
      <c r="B44" s="27">
        <v>6.805592545993111E-4</v>
      </c>
      <c r="C44">
        <v>9.3869370278061304E-3</v>
      </c>
      <c r="D44">
        <v>7.3547938046372163E-3</v>
      </c>
      <c r="E44">
        <v>4.0391787096198506E-2</v>
      </c>
      <c r="F44">
        <v>6.6745235654721125E-2</v>
      </c>
      <c r="G44">
        <v>5.600000000000005E-2</v>
      </c>
    </row>
    <row r="45" spans="1:7" x14ac:dyDescent="0.25">
      <c r="A45" s="1">
        <v>41729</v>
      </c>
      <c r="B45" s="27">
        <v>5.2472076110166022E-4</v>
      </c>
      <c r="C45">
        <v>1.158184168367038E-2</v>
      </c>
      <c r="D45">
        <v>8.4477819407013932E-4</v>
      </c>
      <c r="E45">
        <v>6.3043784382510681E-2</v>
      </c>
      <c r="F45">
        <v>6.4144874609550984E-2</v>
      </c>
      <c r="G45">
        <v>3.499999999999992E-2</v>
      </c>
    </row>
    <row r="46" spans="1:7" x14ac:dyDescent="0.25">
      <c r="A46" s="1">
        <v>41820</v>
      </c>
      <c r="B46" s="27">
        <v>8.656265551267861E-4</v>
      </c>
      <c r="C46">
        <v>3.8681409725320304E-2</v>
      </c>
      <c r="D46">
        <v>2.0337600366339581E-2</v>
      </c>
      <c r="E46">
        <v>1.0683719662557767E-2</v>
      </c>
      <c r="F46">
        <v>5.611135472088935E-2</v>
      </c>
      <c r="G46">
        <v>5.0999999999999934E-2</v>
      </c>
    </row>
    <row r="47" spans="1:7" x14ac:dyDescent="0.25">
      <c r="A47" s="1">
        <v>41912</v>
      </c>
      <c r="B47" s="27">
        <v>1.2051815821472189E-3</v>
      </c>
      <c r="C47">
        <v>3.0973220558413894E-2</v>
      </c>
      <c r="D47">
        <v>1.759613557732953E-2</v>
      </c>
      <c r="E47">
        <v>5.4614807096074358E-2</v>
      </c>
      <c r="F47">
        <v>5.5573527350350815E-2</v>
      </c>
      <c r="G47">
        <v>1.0000000000000009E-2</v>
      </c>
    </row>
    <row r="48" spans="1:7" x14ac:dyDescent="0.25">
      <c r="A48" s="1">
        <v>42004</v>
      </c>
      <c r="B48" s="27">
        <v>8.7459479482343561E-4</v>
      </c>
      <c r="C48">
        <v>2.953088036184548E-2</v>
      </c>
      <c r="D48">
        <v>1.4886602543472405E-2</v>
      </c>
      <c r="E48">
        <v>6.0398823858389683E-2</v>
      </c>
      <c r="F48">
        <v>4.5195031115291551E-2</v>
      </c>
      <c r="G48">
        <v>4.0000000000000036E-3</v>
      </c>
    </row>
    <row r="49" spans="1:7" x14ac:dyDescent="0.25">
      <c r="A49" s="1">
        <v>42094</v>
      </c>
      <c r="B49" s="27">
        <v>3.3233449001612847E-4</v>
      </c>
      <c r="C49">
        <v>2.8374554524985607E-2</v>
      </c>
      <c r="D49">
        <v>2.6314761621663019E-2</v>
      </c>
      <c r="E49">
        <v>5.4611678031606825E-2</v>
      </c>
      <c r="F49">
        <v>1.1561836185650209E-2</v>
      </c>
      <c r="G49">
        <v>4.0000000000000036E-3</v>
      </c>
    </row>
    <row r="50" spans="1:7" x14ac:dyDescent="0.25">
      <c r="A50" s="1">
        <v>42185</v>
      </c>
      <c r="B50" s="27">
        <v>3.1596136326883517E-4</v>
      </c>
      <c r="C50">
        <v>4.3252313123250508E-2</v>
      </c>
      <c r="D50">
        <v>1.8780585649877946E-2</v>
      </c>
      <c r="E50">
        <v>0.15334996177158389</v>
      </c>
      <c r="F50">
        <v>5.9272996912958176E-2</v>
      </c>
      <c r="G50">
        <v>-5.0000000000000044E-3</v>
      </c>
    </row>
    <row r="51" spans="1:7" x14ac:dyDescent="0.25">
      <c r="A51" s="1">
        <v>42277</v>
      </c>
      <c r="B51" s="27">
        <v>2.212192198276508E-4</v>
      </c>
      <c r="C51">
        <v>-5.4816331478912073E-2</v>
      </c>
      <c r="D51">
        <v>-2.5085985446502646E-2</v>
      </c>
      <c r="E51">
        <v>-3.3395424224753167E-2</v>
      </c>
      <c r="F51">
        <v>4.8733167182619663E-2</v>
      </c>
      <c r="G51">
        <v>4.6000000000000041E-2</v>
      </c>
    </row>
    <row r="52" spans="1:7" x14ac:dyDescent="0.25">
      <c r="A52" s="1">
        <v>42369</v>
      </c>
      <c r="B52" s="27">
        <v>2.4932451632064812E-4</v>
      </c>
      <c r="C52">
        <v>2.6080413182152373E-2</v>
      </c>
      <c r="D52">
        <v>1.80892317088448E-2</v>
      </c>
      <c r="E52">
        <v>-8.7737149810502291E-2</v>
      </c>
      <c r="F52">
        <v>2.8042628434574723E-3</v>
      </c>
      <c r="G52">
        <v>6.9999999999998952E-3</v>
      </c>
    </row>
    <row r="53" spans="1:7" x14ac:dyDescent="0.25">
      <c r="A53" s="1">
        <v>42460</v>
      </c>
      <c r="B53" s="27">
        <v>1.9499919911036834E-4</v>
      </c>
      <c r="C53">
        <v>4.8140493572008669E-3</v>
      </c>
      <c r="D53">
        <v>-1.0211412054128566E-4</v>
      </c>
      <c r="E53">
        <v>8.6010447580485039E-2</v>
      </c>
      <c r="F53">
        <v>-1.5956772181777379E-2</v>
      </c>
      <c r="G53">
        <v>4.0000000000000036E-3</v>
      </c>
    </row>
    <row r="54" spans="1:7" x14ac:dyDescent="0.25">
      <c r="A54" s="1">
        <v>42551</v>
      </c>
      <c r="B54" s="27">
        <v>-8.7036241902538336E-7</v>
      </c>
      <c r="C54">
        <v>3.4946823656906822E-2</v>
      </c>
      <c r="D54">
        <v>3.6360364166748704E-2</v>
      </c>
      <c r="E54">
        <v>-4.9264763833104852E-2</v>
      </c>
      <c r="F54">
        <v>4.3407242487949027E-2</v>
      </c>
      <c r="G54">
        <v>1.0999999999999899E-2</v>
      </c>
    </row>
    <row r="55" spans="1:7" x14ac:dyDescent="0.25">
      <c r="A55" s="1">
        <v>42643</v>
      </c>
      <c r="B55" s="27">
        <v>-3.3131824916576846E-4</v>
      </c>
      <c r="C55">
        <v>2.2251190024628498E-2</v>
      </c>
      <c r="D55">
        <v>2.5503058917498933E-2</v>
      </c>
      <c r="E55">
        <v>3.5027010749696164E-2</v>
      </c>
      <c r="F55">
        <v>8.7082531786343953E-2</v>
      </c>
      <c r="G55">
        <v>6.9999999999998952E-3</v>
      </c>
    </row>
    <row r="56" spans="1:7" x14ac:dyDescent="0.25">
      <c r="A56" s="1">
        <v>42734</v>
      </c>
      <c r="B56" s="27">
        <v>-5.4967140156048089E-4</v>
      </c>
      <c r="C56">
        <v>6.6790003449248569E-3</v>
      </c>
      <c r="D56">
        <v>-3.0530305260006996E-3</v>
      </c>
      <c r="E56">
        <v>3.6659644072813746E-2</v>
      </c>
      <c r="F56">
        <v>5.393426183928085E-2</v>
      </c>
      <c r="G56">
        <v>2.4000000000000021E-2</v>
      </c>
    </row>
    <row r="57" spans="1:7" x14ac:dyDescent="0.25">
      <c r="A57" s="1">
        <v>42825</v>
      </c>
      <c r="B57" s="27">
        <v>-6.2053527483152404E-4</v>
      </c>
      <c r="C57">
        <v>-3.058030152005986E-2</v>
      </c>
      <c r="D57">
        <v>-2.9085310872470904E-2</v>
      </c>
      <c r="E57">
        <v>8.7781289103099569E-2</v>
      </c>
      <c r="F57">
        <v>4.5018217964581719E-2</v>
      </c>
      <c r="G57">
        <v>1.4000000000000012E-2</v>
      </c>
    </row>
    <row r="58" spans="1:7" x14ac:dyDescent="0.25">
      <c r="A58" s="1">
        <v>42916</v>
      </c>
      <c r="B58" s="27">
        <v>-7.0372935882190291E-4</v>
      </c>
      <c r="C58">
        <v>-1.5358786720111817E-2</v>
      </c>
      <c r="D58">
        <v>-2.59929079943233E-3</v>
      </c>
      <c r="E58">
        <v>5.0219530740020168E-2</v>
      </c>
      <c r="F58">
        <v>4.1731571199234097E-2</v>
      </c>
      <c r="G58">
        <v>2.4999999999999911E-2</v>
      </c>
    </row>
    <row r="59" spans="1:7" x14ac:dyDescent="0.25">
      <c r="A59" s="1">
        <v>43007</v>
      </c>
      <c r="B59" s="27">
        <v>-7.7313547578217179E-4</v>
      </c>
      <c r="C59">
        <v>5.542094628954386E-3</v>
      </c>
      <c r="D59">
        <v>3.11779755376973E-3</v>
      </c>
      <c r="E59">
        <v>-2.9902072169353255E-2</v>
      </c>
      <c r="F59">
        <v>3.3034795647844728E-2</v>
      </c>
      <c r="G59">
        <v>6.0000000000000053E-2</v>
      </c>
    </row>
    <row r="60" spans="1:7" x14ac:dyDescent="0.25">
      <c r="A60" s="1">
        <v>43098</v>
      </c>
      <c r="B60" s="27">
        <v>-8.4007864788948616E-4</v>
      </c>
      <c r="C60">
        <v>5.8495979922601471E-3</v>
      </c>
      <c r="D60">
        <v>1.6237136269769969E-3</v>
      </c>
      <c r="E60">
        <v>1.3888966162698635E-2</v>
      </c>
      <c r="F60">
        <v>3.490983346628207E-2</v>
      </c>
      <c r="G60">
        <v>2.0999999999999908E-2</v>
      </c>
    </row>
    <row r="61" spans="1:7" x14ac:dyDescent="0.25">
      <c r="A61" s="1">
        <v>43189</v>
      </c>
      <c r="B61" s="27">
        <v>-8.6612210283021351E-4</v>
      </c>
      <c r="C61">
        <v>5.6623253713043997E-3</v>
      </c>
      <c r="D61">
        <v>2.2176471020578514E-3</v>
      </c>
      <c r="E61">
        <v>3.8349885732698263E-2</v>
      </c>
      <c r="F61">
        <v>3.5266589608377918E-2</v>
      </c>
      <c r="G61">
        <v>3.400000000000003E-2</v>
      </c>
    </row>
    <row r="62" spans="1:7" x14ac:dyDescent="0.25">
      <c r="A62" s="1">
        <v>43280</v>
      </c>
      <c r="B62" s="27">
        <v>-9.1555072081039857E-4</v>
      </c>
      <c r="C62">
        <v>1.4447729909795148E-2</v>
      </c>
      <c r="D62">
        <v>-2.1344370860876261E-5</v>
      </c>
      <c r="E62">
        <v>-3.8409477292759453E-2</v>
      </c>
      <c r="F62">
        <v>3.9059613709351959E-2</v>
      </c>
      <c r="G62">
        <v>4.0000000000000036E-3</v>
      </c>
    </row>
    <row r="63" spans="1:7" x14ac:dyDescent="0.25">
      <c r="A63" s="1">
        <v>43371</v>
      </c>
      <c r="B63" s="27">
        <v>-7.8772755479750156E-4</v>
      </c>
      <c r="C63">
        <v>-8.6706268678744536E-3</v>
      </c>
      <c r="D63">
        <v>-3.3740667365077526E-3</v>
      </c>
      <c r="E63">
        <v>7.3013276754509526E-2</v>
      </c>
      <c r="F63">
        <v>4.4229657763465324E-2</v>
      </c>
      <c r="G63">
        <v>-9.9999999999988987E-4</v>
      </c>
    </row>
    <row r="64" spans="1:7" x14ac:dyDescent="0.25">
      <c r="A64" s="1">
        <v>43465</v>
      </c>
      <c r="B64" s="27">
        <v>-7.9506412047591901E-4</v>
      </c>
      <c r="C64">
        <v>-1.091845849550177E-2</v>
      </c>
      <c r="D64">
        <v>-1.0999547128231146E-2</v>
      </c>
      <c r="E64">
        <v>5.7043470298251631E-2</v>
      </c>
      <c r="F64">
        <v>3.9955884321215107E-2</v>
      </c>
      <c r="G64">
        <v>2.200000000000002E-2</v>
      </c>
    </row>
    <row r="65" spans="1:7" x14ac:dyDescent="0.25">
      <c r="A65" s="1">
        <v>43553</v>
      </c>
      <c r="B65" s="27">
        <v>-7.5332582540010851E-4</v>
      </c>
      <c r="C65">
        <v>1.4879920439731853E-2</v>
      </c>
      <c r="D65">
        <v>1.5390091547185403E-2</v>
      </c>
      <c r="E65">
        <v>-0.12360669614032449</v>
      </c>
      <c r="F65">
        <v>-3.7576211412548854E-3</v>
      </c>
      <c r="G65">
        <v>6.0000000000000053E-3</v>
      </c>
    </row>
    <row r="66" spans="1:7" x14ac:dyDescent="0.25">
      <c r="A66" s="1">
        <v>43644</v>
      </c>
      <c r="B66" s="27">
        <v>-6.114786026355512E-4</v>
      </c>
      <c r="C66">
        <v>2.5605101951634124E-2</v>
      </c>
      <c r="D66">
        <v>1.8568388066927843E-2</v>
      </c>
      <c r="E66">
        <v>0.14955794870858852</v>
      </c>
      <c r="F66">
        <v>6.3486065666054081E-2</v>
      </c>
      <c r="G66">
        <v>1.4000000000000012E-2</v>
      </c>
    </row>
    <row r="67" spans="1:7" x14ac:dyDescent="0.25">
      <c r="A67" s="1">
        <v>43738</v>
      </c>
      <c r="B67" s="27">
        <v>-5.8844373749267209E-4</v>
      </c>
      <c r="C67">
        <v>3.4099507035525001E-2</v>
      </c>
      <c r="D67">
        <v>2.1583076862297546E-2</v>
      </c>
      <c r="E67">
        <v>2.5889582840744829E-2</v>
      </c>
      <c r="F67">
        <v>3.3837907690200009E-2</v>
      </c>
      <c r="G67">
        <v>8.0000000000000071E-3</v>
      </c>
    </row>
    <row r="68" spans="1:7" x14ac:dyDescent="0.25">
      <c r="A68" s="1">
        <v>43830</v>
      </c>
      <c r="B68" s="27">
        <v>-8.7366980551484286E-4</v>
      </c>
      <c r="C68">
        <v>3.8398917228945173E-2</v>
      </c>
      <c r="D68">
        <v>2.3033266689431509E-2</v>
      </c>
      <c r="E68">
        <v>4.9136731515037946E-2</v>
      </c>
      <c r="F68">
        <v>2.5466433857054716E-2</v>
      </c>
      <c r="G68">
        <v>4.0000000000000036E-3</v>
      </c>
    </row>
    <row r="69" spans="1:7" x14ac:dyDescent="0.25">
      <c r="A69" s="1">
        <v>43921</v>
      </c>
      <c r="B69" s="27">
        <v>-9.9487354409999451E-4</v>
      </c>
      <c r="C69">
        <v>-2.8942046167794167E-2</v>
      </c>
      <c r="D69">
        <v>-1.7820672611147947E-2</v>
      </c>
      <c r="E69">
        <v>5.5177690474393914E-2</v>
      </c>
      <c r="F69">
        <v>3.3706568970587325E-2</v>
      </c>
      <c r="G69">
        <v>2.8999999999999915E-2</v>
      </c>
    </row>
    <row r="70" spans="1:7" x14ac:dyDescent="0.25">
      <c r="A70" s="1">
        <v>44012</v>
      </c>
      <c r="B70" s="27">
        <v>-1.2193837726625079E-3</v>
      </c>
      <c r="C70">
        <v>2.1000703325442238E-3</v>
      </c>
      <c r="D70">
        <v>3.2539827082983308E-2</v>
      </c>
      <c r="E70">
        <v>-0.1976814642464455</v>
      </c>
      <c r="F70">
        <v>-0.1525486566412747</v>
      </c>
      <c r="G70">
        <v>-4.1000000000000036E-2</v>
      </c>
    </row>
    <row r="71" spans="1:7" x14ac:dyDescent="0.25">
      <c r="A71" s="1">
        <v>44104</v>
      </c>
      <c r="B71" s="27">
        <v>1.8649363190337276E-4</v>
      </c>
      <c r="C71">
        <v>1.7926869050325811E-2</v>
      </c>
      <c r="D71">
        <v>7.1329859571098719E-3</v>
      </c>
      <c r="E71">
        <v>0.17225498398782269</v>
      </c>
      <c r="F71">
        <v>0.12859303310583137</v>
      </c>
      <c r="G71">
        <v>6.9999999999998952E-3</v>
      </c>
    </row>
    <row r="72" spans="1:7" x14ac:dyDescent="0.25">
      <c r="A72" s="1">
        <v>44196</v>
      </c>
      <c r="B72" s="27">
        <v>-1.0121632839310557E-3</v>
      </c>
      <c r="C72">
        <v>1.7162015838872557E-2</v>
      </c>
      <c r="D72">
        <v>2.9436789869952129E-3</v>
      </c>
      <c r="E72">
        <v>3.4428089076147916E-2</v>
      </c>
      <c r="F72">
        <v>7.0820527675099498E-2</v>
      </c>
      <c r="G72">
        <v>3.8999999999999924E-2</v>
      </c>
    </row>
    <row r="73" spans="1:7" x14ac:dyDescent="0.25">
      <c r="A73" s="1">
        <v>44286</v>
      </c>
      <c r="B73" s="27">
        <v>-1.2830197552710088E-3</v>
      </c>
      <c r="C73">
        <v>1.3402010182186119E-2</v>
      </c>
      <c r="D73">
        <v>9.3834615924004439E-4</v>
      </c>
      <c r="E73">
        <v>9.3400138642883102E-2</v>
      </c>
      <c r="F73">
        <v>7.2438888852461192E-2</v>
      </c>
      <c r="G73">
        <v>3.499999999999992E-2</v>
      </c>
    </row>
    <row r="74" spans="1:7" x14ac:dyDescent="0.25">
      <c r="A74" s="1">
        <v>44377</v>
      </c>
      <c r="B74" s="27">
        <v>-1.3982720994536457E-3</v>
      </c>
      <c r="C74">
        <v>-2.3908220320220885E-2</v>
      </c>
      <c r="D74">
        <v>-2.808271607207069E-2</v>
      </c>
      <c r="E74">
        <v>9.2666859554644043E-2</v>
      </c>
      <c r="F74">
        <v>5.9737594011927131E-2</v>
      </c>
      <c r="G74">
        <v>4.0999999999999925E-2</v>
      </c>
    </row>
    <row r="75" spans="1:7" x14ac:dyDescent="0.25">
      <c r="A75" s="1">
        <v>44469</v>
      </c>
      <c r="B75" s="27">
        <v>-1.3147602691884197E-3</v>
      </c>
      <c r="C75">
        <v>-7.200233573260606E-3</v>
      </c>
      <c r="D75">
        <v>4.7306773094759613E-3</v>
      </c>
      <c r="E75">
        <v>6.5938096732401252E-2</v>
      </c>
      <c r="F75">
        <v>8.3065694741339513E-2</v>
      </c>
      <c r="G75">
        <v>2.4999999999999911E-2</v>
      </c>
    </row>
    <row r="76" spans="1:7" x14ac:dyDescent="0.25">
      <c r="A76" s="1">
        <v>44561</v>
      </c>
      <c r="B76" s="27">
        <v>-1.3731524931143158E-3</v>
      </c>
      <c r="C76">
        <v>4.7636755159219391E-4</v>
      </c>
      <c r="D76">
        <v>-1.2931774995922352E-3</v>
      </c>
      <c r="E76">
        <v>2.4116992761600509E-2</v>
      </c>
      <c r="F76">
        <v>4.116664404633652E-2</v>
      </c>
      <c r="G76">
        <v>3.2999999999999918E-2</v>
      </c>
    </row>
    <row r="77" spans="1:7" x14ac:dyDescent="0.25">
      <c r="A77" s="1">
        <v>44651</v>
      </c>
      <c r="B77" s="27">
        <v>-1.3496261709862178E-3</v>
      </c>
      <c r="C77">
        <v>-5.082073544309007E-3</v>
      </c>
      <c r="D77">
        <v>-1.1782736644799785E-3</v>
      </c>
      <c r="E77">
        <v>9.6995207491656243E-2</v>
      </c>
      <c r="F77">
        <v>4.1904246740619655E-2</v>
      </c>
      <c r="G77">
        <v>2.4000000000000021E-2</v>
      </c>
    </row>
    <row r="78" spans="1:7" x14ac:dyDescent="0.25">
      <c r="A78" s="1">
        <v>44742</v>
      </c>
      <c r="B78" s="27">
        <v>-1.5153877999001253E-3</v>
      </c>
      <c r="C78">
        <v>-5.1344032855492827E-2</v>
      </c>
      <c r="D78">
        <v>-4.691885035010579E-2</v>
      </c>
      <c r="E78">
        <v>-2.5318348168599902E-2</v>
      </c>
      <c r="F78">
        <v>2.7470888513174918E-2</v>
      </c>
      <c r="G78">
        <v>1.0000000000000009E-2</v>
      </c>
    </row>
    <row r="79" spans="1:7" x14ac:dyDescent="0.25">
      <c r="A79" s="1">
        <v>44834</v>
      </c>
      <c r="B79" s="27">
        <v>-8.9887653769227249E-4</v>
      </c>
      <c r="C79">
        <v>-7.1879914445219462E-2</v>
      </c>
      <c r="D79">
        <v>-4.3067496337308331E-2</v>
      </c>
      <c r="E79">
        <v>-0.11520927433195094</v>
      </c>
      <c r="F79">
        <v>-4.4198628976983567E-3</v>
      </c>
      <c r="G79">
        <v>2.9999999999998916E-3</v>
      </c>
    </row>
    <row r="80" spans="1:7" x14ac:dyDescent="0.25">
      <c r="A80" s="1">
        <v>44925</v>
      </c>
      <c r="B80" s="27">
        <v>-7.7183679656289694E-4</v>
      </c>
      <c r="C80">
        <v>-4.822294201821431E-2</v>
      </c>
      <c r="D80">
        <v>-3.6520849333569472E-2</v>
      </c>
      <c r="E80">
        <v>3.3270595947243464E-3</v>
      </c>
      <c r="F80">
        <v>4.0193107104266934E-2</v>
      </c>
      <c r="G80">
        <v>-2.0000000000000018E-3</v>
      </c>
    </row>
    <row r="81" spans="1:7" x14ac:dyDescent="0.25">
      <c r="A81" s="1">
        <v>45016</v>
      </c>
      <c r="B81" s="27">
        <v>3.6217073262685417E-3</v>
      </c>
      <c r="C81">
        <v>-2.0821253645759041E-2</v>
      </c>
      <c r="D81">
        <v>-5.7616377585970602E-3</v>
      </c>
      <c r="E81">
        <v>5.0178627809764897E-3</v>
      </c>
      <c r="F81">
        <v>3.5905503200352351E-2</v>
      </c>
      <c r="G81">
        <v>6.0000000000000053E-3</v>
      </c>
    </row>
    <row r="82" spans="1:7" x14ac:dyDescent="0.25">
      <c r="A82" s="1">
        <v>45107</v>
      </c>
      <c r="B82" s="27">
        <v>5.367700975249301E-3</v>
      </c>
      <c r="C82">
        <v>2.3986716697266486E-2</v>
      </c>
      <c r="D82">
        <v>2.6303012048192631E-2</v>
      </c>
      <c r="E82">
        <v>6.404434809775017E-2</v>
      </c>
      <c r="F82">
        <v>5.4118263079389495E-2</v>
      </c>
      <c r="G82">
        <v>1.4000000000000012E-2</v>
      </c>
    </row>
    <row r="83" spans="1:7" x14ac:dyDescent="0.25">
      <c r="A83" s="1">
        <v>45198</v>
      </c>
      <c r="B83" s="27">
        <v>7.8863193175251478E-3</v>
      </c>
      <c r="C83">
        <v>6.1315463701827611E-4</v>
      </c>
      <c r="D83">
        <v>-4.4893408718742478E-3</v>
      </c>
      <c r="E83">
        <v>6.1462925005453695E-2</v>
      </c>
      <c r="F83">
        <v>5.2126341108980734E-2</v>
      </c>
      <c r="G83">
        <v>1.4000000000000012E-2</v>
      </c>
    </row>
    <row r="84" spans="1:7" x14ac:dyDescent="0.25">
      <c r="A84" s="1">
        <v>45289</v>
      </c>
      <c r="B84" s="27">
        <v>9.1630131863904563E-3</v>
      </c>
      <c r="C84">
        <v>-2.4299152274106839E-2</v>
      </c>
      <c r="D84">
        <v>-2.2721853980440798E-2</v>
      </c>
      <c r="E84">
        <v>-3.9724759995174441E-3</v>
      </c>
      <c r="F84">
        <v>6.1998646112676692E-2</v>
      </c>
      <c r="G84">
        <v>1.6999999999999904E-2</v>
      </c>
    </row>
    <row r="85" spans="1:7" x14ac:dyDescent="0.25">
      <c r="A85" s="1">
        <v>45380</v>
      </c>
      <c r="B85" s="27">
        <v>1.0467964799591778E-2</v>
      </c>
      <c r="C85">
        <v>7.0307709708720356E-2</v>
      </c>
      <c r="D85">
        <v>5.0030528128522933E-2</v>
      </c>
      <c r="E85">
        <v>6.7152579895608078E-2</v>
      </c>
      <c r="F85">
        <v>5.2674991854284814E-2</v>
      </c>
      <c r="G85">
        <v>2.4999999999999911E-2</v>
      </c>
    </row>
    <row r="86" spans="1:7" x14ac:dyDescent="0.25">
      <c r="A86" s="1">
        <v>45471</v>
      </c>
      <c r="B86" s="27">
        <v>1.0144539216124127E-2</v>
      </c>
      <c r="C86">
        <v>-6.2488354695804382E-3</v>
      </c>
      <c r="D86">
        <v>-3.8698073123797361E-3</v>
      </c>
      <c r="E86">
        <v>0.11392597409445515</v>
      </c>
      <c r="F86">
        <v>5.6995644659249223E-2</v>
      </c>
      <c r="G86">
        <v>1.4000000000000012E-2</v>
      </c>
    </row>
    <row r="87" spans="1:7" x14ac:dyDescent="0.25">
      <c r="A87" s="1">
        <v>45565</v>
      </c>
      <c r="B87" s="27">
        <v>1.0195123140061657E-2</v>
      </c>
      <c r="C87">
        <v>-1.2772149773325081E-2</v>
      </c>
      <c r="D87">
        <v>-5.4425908711829285E-3</v>
      </c>
      <c r="E87">
        <v>3.3624267114497286E-2</v>
      </c>
      <c r="F87">
        <v>4.5121718713502679E-2</v>
      </c>
      <c r="G87">
        <v>1.0999999999999899E-2</v>
      </c>
    </row>
    <row r="88" spans="1:7" x14ac:dyDescent="0.25">
      <c r="A88" s="1">
        <v>45657</v>
      </c>
      <c r="B88" s="27">
        <v>1.0378088389501272E-2</v>
      </c>
      <c r="C88">
        <v>3.9081456788443658E-2</v>
      </c>
      <c r="D88">
        <v>3.6058052909939908E-2</v>
      </c>
      <c r="E88">
        <v>2.3422110679679919E-2</v>
      </c>
      <c r="F88">
        <v>4.9646987309468038E-2</v>
      </c>
      <c r="G88">
        <v>2.200000000000002E-2</v>
      </c>
    </row>
    <row r="89" spans="1:7" x14ac:dyDescent="0.25">
      <c r="A89" s="1">
        <v>45747</v>
      </c>
      <c r="B89" s="27">
        <v>8.833009367476663E-3</v>
      </c>
      <c r="C89">
        <v>-1.617730103692816E-3</v>
      </c>
      <c r="D89">
        <v>-1.1822005726291551E-2</v>
      </c>
      <c r="E89">
        <v>7.3797411143011304E-2</v>
      </c>
      <c r="F89">
        <v>4.6609749865873518E-2</v>
      </c>
      <c r="G89">
        <v>1.0999999999999899E-2</v>
      </c>
    </row>
    <row r="90" spans="1:7" x14ac:dyDescent="0.25">
      <c r="A90" s="1">
        <v>45838</v>
      </c>
      <c r="B90" s="27">
        <v>7.1709860188340357E-3</v>
      </c>
      <c r="C90">
        <v>-1.17878514632348E-2</v>
      </c>
      <c r="D90">
        <v>2.4917566958724269E-3</v>
      </c>
      <c r="E90">
        <v>-6.0015820241020035E-2</v>
      </c>
      <c r="F90">
        <v>3.4141651403952533E-2</v>
      </c>
      <c r="G90">
        <v>8.0000000000000071E-3</v>
      </c>
    </row>
    <row r="91" spans="1:7" x14ac:dyDescent="0.25">
      <c r="A91" s="1">
        <v>45930</v>
      </c>
      <c r="B91" s="27">
        <v>6.3815944258189816E-3</v>
      </c>
      <c r="C91">
        <v>1.8183024752803867E-2</v>
      </c>
      <c r="D91">
        <v>9.4098093290193585E-3</v>
      </c>
      <c r="E91">
        <v>2.2960665408739978E-2</v>
      </c>
      <c r="F91">
        <v>4.2301358893243934E-2</v>
      </c>
      <c r="G91">
        <v>1.0000000000000009E-2</v>
      </c>
    </row>
    <row r="92" spans="1:7" x14ac:dyDescent="0.25">
      <c r="A92" s="1">
        <v>46022</v>
      </c>
      <c r="B92" s="27">
        <v>5.3644628029609898E-3</v>
      </c>
      <c r="C92">
        <v>-1.9933085663387251E-3</v>
      </c>
      <c r="D92">
        <v>1.617464359650711E-3</v>
      </c>
      <c r="E92">
        <v>7.7634004583708727E-2</v>
      </c>
      <c r="F92">
        <v>4.3725672462260556E-2</v>
      </c>
      <c r="G92">
        <v>6.9999999999998952E-3</v>
      </c>
    </row>
    <row r="93" spans="1:7" x14ac:dyDescent="0.25">
      <c r="A93" s="1">
        <v>46112</v>
      </c>
      <c r="B93" s="27">
        <v>5.7247444971209038E-3</v>
      </c>
      <c r="C93">
        <v>2.9061382646979883E-3</v>
      </c>
      <c r="D93">
        <v>1.6759173590386034E-3</v>
      </c>
      <c r="E93">
        <v>3.0086306784651073E-2</v>
      </c>
      <c r="F93">
        <v>3.4996761261720799E-2</v>
      </c>
    </row>
    <row r="94" spans="1:7" x14ac:dyDescent="0.25">
      <c r="A94" s="1">
        <v>46203</v>
      </c>
      <c r="B94" s="27">
        <v>5.3511175798459654E-3</v>
      </c>
      <c r="C94">
        <v>-6.0748956767580076E-3</v>
      </c>
      <c r="D94">
        <v>-6.5869539310068337E-3</v>
      </c>
      <c r="E94">
        <v>-1.9646897948863651E-2</v>
      </c>
      <c r="F94">
        <v>1.0917526356144069E-2</v>
      </c>
    </row>
    <row r="95" spans="1:7" x14ac:dyDescent="0.25">
      <c r="A95" s="1">
        <v>46295</v>
      </c>
      <c r="B95" s="27">
        <v>5.8696700858107409E-3</v>
      </c>
      <c r="C95">
        <v>1.8286940356566639E-2</v>
      </c>
      <c r="D95">
        <v>7.1267769642355816E-3</v>
      </c>
      <c r="E95">
        <v>0.15059489733310261</v>
      </c>
      <c r="F95">
        <v>-3.5762499999999475E-3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1012-F93E-49ED-816E-DEEC014DBCC2}">
  <sheetPr codeName="Sheet4"/>
  <dimension ref="A1:G7"/>
  <sheetViews>
    <sheetView workbookViewId="0">
      <selection activeCell="C3" sqref="C3"/>
    </sheetView>
  </sheetViews>
  <sheetFormatPr defaultRowHeight="15" x14ac:dyDescent="0.25"/>
  <cols>
    <col min="1" max="1" width="15.7109375" bestFit="1" customWidth="1"/>
    <col min="2" max="2" width="22.5703125" bestFit="1" customWidth="1"/>
  </cols>
  <sheetData>
    <row r="1" spans="1:7" x14ac:dyDescent="0.25">
      <c r="B1" t="str" cm="1">
        <f t="array" ref="B1:G1">TRANSPOSE(_xlfn.ANCHORARRAY(A2))</f>
        <v>EUR Cash</v>
      </c>
      <c r="C1" t="str">
        <v>EMU Bond All MaturityU</v>
      </c>
      <c r="D1" t="str">
        <v>Barclays Global TreasuryH</v>
      </c>
      <c r="E1" t="str">
        <v>World EquityU</v>
      </c>
      <c r="F1" t="str">
        <v>Global Private DebtH</v>
      </c>
      <c r="G1" t="str">
        <v>EU Private CreditH</v>
      </c>
    </row>
    <row r="2" spans="1:7" x14ac:dyDescent="0.25">
      <c r="A2" t="str" cm="1">
        <f t="array" ref="A2:A7">TRANSPOSE(timeseries!B1:G1)</f>
        <v>EUR Cash</v>
      </c>
      <c r="B2" s="25">
        <f>_xlfn.COVARIANCE.S(INDEX(timeseries!$B$2:$G$95,,MATCH($A2,timeseries!$B$1:$G$1,0)),INDEX(timeseries!$B$2:$G$95,,MATCH(B$1,timeseries!$B$1:$G$1,0)))*4</f>
        <v>7.7709337971643589E-5</v>
      </c>
      <c r="C2" s="25">
        <f>_xlfn.COVARIANCE.S(INDEX(timeseries!$B$2:$G$95,,MATCH($A2,timeseries!$B$1:$G$1,0)),INDEX(timeseries!$B$2:$G$95,,MATCH(C$1,timeseries!$B$1:$G$1,0)))*4</f>
        <v>8.7621516294794833E-5</v>
      </c>
      <c r="D2" s="25">
        <f>_xlfn.COVARIANCE.S(INDEX(timeseries!$B$2:$G$95,,MATCH($A2,timeseries!$B$1:$G$1,0)),INDEX(timeseries!$B$2:$G$95,,MATCH(D$1,timeseries!$B$1:$G$1,0)))*4</f>
        <v>1.02712347733648E-4</v>
      </c>
      <c r="E2" s="25">
        <f>_xlfn.COVARIANCE.S(INDEX(timeseries!$B$2:$G$95,,MATCH($A2,timeseries!$B$1:$G$1,0)),INDEX(timeseries!$B$2:$G$95,,MATCH(E$1,timeseries!$B$1:$G$1,0)))*4</f>
        <v>-2.691238029468149E-4</v>
      </c>
      <c r="F2" s="25">
        <f>_xlfn.COVARIANCE.S(INDEX(timeseries!$B$2:$G$95,,MATCH($A2,timeseries!$B$1:$G$1,0)),INDEX(timeseries!$B$2:$G$95,,MATCH(F$1,timeseries!$B$1:$G$1,0)))*4</f>
        <v>-1.4418608986633354E-4</v>
      </c>
      <c r="G2" s="25">
        <f>_xlfn.COVARIANCE.S(INDEX(timeseries!$B$2:$G$95,,MATCH($A2,timeseries!$B$1:$G$1,0)),INDEX(timeseries!$B$2:$G$95,,MATCH(G$1,timeseries!$B$1:$G$1,0)))*4</f>
        <v>-2.6665598384880622E-4</v>
      </c>
    </row>
    <row r="3" spans="1:7" x14ac:dyDescent="0.25">
      <c r="A3" t="str">
        <v>EMU Bond All MaturityU</v>
      </c>
      <c r="B3" s="25">
        <f>_xlfn.COVARIANCE.S(INDEX(timeseries!$B$2:$G$95,,MATCH($A3,timeseries!$B$1:$G$1,0)),INDEX(timeseries!$B$2:$G$95,,MATCH(B$1,timeseries!$B$1:$G$1,0)))*4</f>
        <v>8.7621516294794833E-5</v>
      </c>
      <c r="C3" s="25">
        <f>_xlfn.COVARIANCE.S(INDEX(timeseries!$B$2:$G$95,,MATCH($A3,timeseries!$B$1:$G$1,0)),INDEX(timeseries!$B$2:$G$95,,MATCH(C$1,timeseries!$B$1:$G$1,0)))*4</f>
        <v>2.4150049848095352E-3</v>
      </c>
      <c r="D3" s="25">
        <f>_xlfn.COVARIANCE.S(INDEX(timeseries!$B$2:$G$95,,MATCH($A3,timeseries!$B$1:$G$1,0)),INDEX(timeseries!$B$2:$G$95,,MATCH(D$1,timeseries!$B$1:$G$1,0)))*4</f>
        <v>1.6895151456090636E-3</v>
      </c>
      <c r="E3" s="25">
        <f>_xlfn.COVARIANCE.S(INDEX(timeseries!$B$2:$G$95,,MATCH($A3,timeseries!$B$1:$G$1,0)),INDEX(timeseries!$B$2:$G$95,,MATCH(E$1,timeseries!$B$1:$G$1,0)))*4</f>
        <v>1.3365517153294306E-4</v>
      </c>
      <c r="F3" s="25">
        <f>_xlfn.COVARIANCE.S(INDEX(timeseries!$B$2:$G$95,,MATCH($A3,timeseries!$B$1:$G$1,0)),INDEX(timeseries!$B$2:$G$95,,MATCH(F$1,timeseries!$B$1:$G$1,0)))*4</f>
        <v>-7.321872524142022E-4</v>
      </c>
      <c r="G3" s="25">
        <f>_xlfn.COVARIANCE.S(INDEX(timeseries!$B$2:$G$95,,MATCH($A3,timeseries!$B$1:$G$1,0)),INDEX(timeseries!$B$2:$G$95,,MATCH(G$1,timeseries!$B$1:$G$1,0)))*4</f>
        <v>-9.5990114193331556E-4</v>
      </c>
    </row>
    <row r="4" spans="1:7" x14ac:dyDescent="0.25">
      <c r="A4" t="str">
        <v>Barclays Global TreasuryH</v>
      </c>
      <c r="B4" s="25">
        <f>_xlfn.COVARIANCE.S(INDEX(timeseries!$B$2:$G$95,,MATCH($A4,timeseries!$B$1:$G$1,0)),INDEX(timeseries!$B$2:$G$95,,MATCH(B$1,timeseries!$B$1:$G$1,0)))*4</f>
        <v>1.02712347733648E-4</v>
      </c>
      <c r="C4" s="25">
        <f>_xlfn.COVARIANCE.S(INDEX(timeseries!$B$2:$G$95,,MATCH($A4,timeseries!$B$1:$G$1,0)),INDEX(timeseries!$B$2:$G$95,,MATCH(C$1,timeseries!$B$1:$G$1,0)))*4</f>
        <v>1.6895151456090636E-3</v>
      </c>
      <c r="D4" s="25">
        <f>_xlfn.COVARIANCE.S(INDEX(timeseries!$B$2:$G$95,,MATCH($A4,timeseries!$B$1:$G$1,0)),INDEX(timeseries!$B$2:$G$95,,MATCH(D$1,timeseries!$B$1:$G$1,0)))*4</f>
        <v>1.4794864769296437E-3</v>
      </c>
      <c r="E4" s="25">
        <f>_xlfn.COVARIANCE.S(INDEX(timeseries!$B$2:$G$95,,MATCH($A4,timeseries!$B$1:$G$1,0)),INDEX(timeseries!$B$2:$G$95,,MATCH(E$1,timeseries!$B$1:$G$1,0)))*4</f>
        <v>-1.1387075259385497E-3</v>
      </c>
      <c r="F4" s="25">
        <f>_xlfn.COVARIANCE.S(INDEX(timeseries!$B$2:$G$95,,MATCH($A4,timeseries!$B$1:$G$1,0)),INDEX(timeseries!$B$2:$G$95,,MATCH(F$1,timeseries!$B$1:$G$1,0)))*4</f>
        <v>-1.1510911991273617E-3</v>
      </c>
      <c r="G4" s="25">
        <f>_xlfn.COVARIANCE.S(INDEX(timeseries!$B$2:$G$95,,MATCH($A4,timeseries!$B$1:$G$1,0)),INDEX(timeseries!$B$2:$G$95,,MATCH(G$1,timeseries!$B$1:$G$1,0)))*4</f>
        <v>-1.2507521007997081E-3</v>
      </c>
    </row>
    <row r="5" spans="1:7" x14ac:dyDescent="0.25">
      <c r="A5" t="str">
        <v>World EquityU</v>
      </c>
      <c r="B5" s="25">
        <f>_xlfn.COVARIANCE.S(INDEX(timeseries!$B$2:$G$95,,MATCH($A5,timeseries!$B$1:$G$1,0)),INDEX(timeseries!$B$2:$G$95,,MATCH(B$1,timeseries!$B$1:$G$1,0)))*4</f>
        <v>-2.691238029468149E-4</v>
      </c>
      <c r="C5" s="25">
        <f>_xlfn.COVARIANCE.S(INDEX(timeseries!$B$2:$G$95,,MATCH($A5,timeseries!$B$1:$G$1,0)),INDEX(timeseries!$B$2:$G$95,,MATCH(C$1,timeseries!$B$1:$G$1,0)))*4</f>
        <v>1.3365517153294306E-4</v>
      </c>
      <c r="D5" s="25">
        <f>_xlfn.COVARIANCE.S(INDEX(timeseries!$B$2:$G$95,,MATCH($A5,timeseries!$B$1:$G$1,0)),INDEX(timeseries!$B$2:$G$95,,MATCH(D$1,timeseries!$B$1:$G$1,0)))*4</f>
        <v>-1.1387075259385497E-3</v>
      </c>
      <c r="E5" s="25">
        <f>_xlfn.COVARIANCE.S(INDEX(timeseries!$B$2:$G$95,,MATCH($A5,timeseries!$B$1:$G$1,0)),INDEX(timeseries!$B$2:$G$95,,MATCH(E$1,timeseries!$B$1:$G$1,0)))*4</f>
        <v>2.1030348101967439E-2</v>
      </c>
      <c r="F5" s="25">
        <f>_xlfn.COVARIANCE.S(INDEX(timeseries!$B$2:$G$95,,MATCH($A5,timeseries!$B$1:$G$1,0)),INDEX(timeseries!$B$2:$G$95,,MATCH(F$1,timeseries!$B$1:$G$1,0)))*4</f>
        <v>7.6397242042496481E-3</v>
      </c>
      <c r="G5" s="25">
        <f>_xlfn.COVARIANCE.S(INDEX(timeseries!$B$2:$G$95,,MATCH($A5,timeseries!$B$1:$G$1,0)),INDEX(timeseries!$B$2:$G$95,,MATCH(G$1,timeseries!$B$1:$G$1,0)))*4</f>
        <v>6.4384985734886246E-3</v>
      </c>
    </row>
    <row r="6" spans="1:7" x14ac:dyDescent="0.25">
      <c r="A6" t="str">
        <v>Global Private DebtH</v>
      </c>
      <c r="B6" s="25">
        <f>_xlfn.COVARIANCE.S(INDEX(timeseries!$B$2:$G$95,,MATCH($A6,timeseries!$B$1:$G$1,0)),INDEX(timeseries!$B$2:$G$95,,MATCH(B$1,timeseries!$B$1:$G$1,0)))*4</f>
        <v>-1.4418608986633354E-4</v>
      </c>
      <c r="C6" s="25">
        <f>_xlfn.COVARIANCE.S(INDEX(timeseries!$B$2:$G$95,,MATCH($A6,timeseries!$B$1:$G$1,0)),INDEX(timeseries!$B$2:$G$95,,MATCH(C$1,timeseries!$B$1:$G$1,0)))*4</f>
        <v>-7.321872524142022E-4</v>
      </c>
      <c r="D6" s="25">
        <f>_xlfn.COVARIANCE.S(INDEX(timeseries!$B$2:$G$95,,MATCH($A6,timeseries!$B$1:$G$1,0)),INDEX(timeseries!$B$2:$G$95,,MATCH(D$1,timeseries!$B$1:$G$1,0)))*4</f>
        <v>-1.1510911991273617E-3</v>
      </c>
      <c r="E6" s="25">
        <f>_xlfn.COVARIANCE.S(INDEX(timeseries!$B$2:$G$95,,MATCH($A6,timeseries!$B$1:$G$1,0)),INDEX(timeseries!$B$2:$G$95,,MATCH(E$1,timeseries!$B$1:$G$1,0)))*4</f>
        <v>7.6397242042496481E-3</v>
      </c>
      <c r="F6" s="25">
        <f>_xlfn.COVARIANCE.S(INDEX(timeseries!$B$2:$G$95,,MATCH($A6,timeseries!$B$1:$G$1,0)),INDEX(timeseries!$B$2:$G$95,,MATCH(F$1,timeseries!$B$1:$G$1,0)))*4</f>
        <v>7.7082643893943521E-3</v>
      </c>
      <c r="G6" s="25">
        <f>_xlfn.COVARIANCE.S(INDEX(timeseries!$B$2:$G$95,,MATCH($A6,timeseries!$B$1:$G$1,0)),INDEX(timeseries!$B$2:$G$95,,MATCH(G$1,timeseries!$B$1:$G$1,0)))*4</f>
        <v>4.7306526341953162E-3</v>
      </c>
    </row>
    <row r="7" spans="1:7" x14ac:dyDescent="0.25">
      <c r="A7" t="str">
        <v>EU Private CreditH</v>
      </c>
      <c r="B7" s="25">
        <f>_xlfn.COVARIANCE.S(INDEX(timeseries!$B$2:$G$95,,MATCH($A7,timeseries!$B$1:$G$1,0)),INDEX(timeseries!$B$2:$G$95,,MATCH(B$1,timeseries!$B$1:$G$1,0)))*4</f>
        <v>-2.6665598384880622E-4</v>
      </c>
      <c r="C7" s="25">
        <f>_xlfn.COVARIANCE.S(INDEX(timeseries!$B$2:$G$95,,MATCH($A7,timeseries!$B$1:$G$1,0)),INDEX(timeseries!$B$2:$G$95,,MATCH(C$1,timeseries!$B$1:$G$1,0)))*4</f>
        <v>-9.5990114193331556E-4</v>
      </c>
      <c r="D7" s="25">
        <f>_xlfn.COVARIANCE.S(INDEX(timeseries!$B$2:$G$95,,MATCH($A7,timeseries!$B$1:$G$1,0)),INDEX(timeseries!$B$2:$G$95,,MATCH(D$1,timeseries!$B$1:$G$1,0)))*4</f>
        <v>-1.2507521007997081E-3</v>
      </c>
      <c r="E7" s="25">
        <f>_xlfn.COVARIANCE.S(INDEX(timeseries!$B$2:$G$95,,MATCH($A7,timeseries!$B$1:$G$1,0)),INDEX(timeseries!$B$2:$G$95,,MATCH(E$1,timeseries!$B$1:$G$1,0)))*4</f>
        <v>6.4384985734886246E-3</v>
      </c>
      <c r="F7" s="25">
        <f>_xlfn.COVARIANCE.S(INDEX(timeseries!$B$2:$G$95,,MATCH($A7,timeseries!$B$1:$G$1,0)),INDEX(timeseries!$B$2:$G$95,,MATCH(F$1,timeseries!$B$1:$G$1,0)))*4</f>
        <v>4.7306526341953162E-3</v>
      </c>
      <c r="G7" s="25">
        <f>_xlfn.COVARIANCE.S(INDEX(timeseries!$B$2:$G$95,,MATCH($A7,timeseries!$B$1:$G$1,0)),INDEX(timeseries!$B$2:$G$95,,MATCH(G$1,timeseries!$B$1:$G$1,0)))*4</f>
        <v>6.5720185592185645E-3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104D-339E-475A-959C-18EC1D95B2D7}">
  <sheetPr codeName="Sheet6"/>
  <dimension ref="A1:Q12"/>
  <sheetViews>
    <sheetView workbookViewId="0">
      <selection activeCell="AA8" sqref="AA8"/>
    </sheetView>
  </sheetViews>
  <sheetFormatPr defaultRowHeight="19.5" x14ac:dyDescent="0.45"/>
  <cols>
    <col min="1" max="1" width="15.7109375" style="14" bestFit="1" customWidth="1"/>
    <col min="2" max="2" width="13.140625" style="14" customWidth="1"/>
    <col min="3" max="3" width="11.140625" style="14" customWidth="1"/>
    <col min="4" max="4" width="9.140625" style="14"/>
    <col min="5" max="5" width="1.42578125" style="14" customWidth="1"/>
    <col min="6" max="6" width="15.7109375" style="14" bestFit="1" customWidth="1"/>
    <col min="7" max="15" width="9.140625" style="21"/>
    <col min="16" max="17" width="9.140625" style="14"/>
  </cols>
  <sheetData>
    <row r="1" spans="1:17" ht="87.75" x14ac:dyDescent="0.45">
      <c r="A1" s="22"/>
      <c r="B1" s="23" t="e">
        <f>+asset_config!#REF!</f>
        <v>#REF!</v>
      </c>
      <c r="C1" s="23" t="e">
        <f>+asset_config!#REF!</f>
        <v>#REF!</v>
      </c>
      <c r="D1" s="23" t="e">
        <f>+asset_config!#REF!</f>
        <v>#REF!</v>
      </c>
      <c r="G1" s="24" t="str" cm="1">
        <f t="array" ref="G1:Q1">TRANSPOSE(F2:F12)</f>
        <v>EUR Cash</v>
      </c>
      <c r="H1" s="24" t="str">
        <v>Barclays Global TreasuryH</v>
      </c>
      <c r="I1" s="24" t="str">
        <v>World EquityU</v>
      </c>
      <c r="J1" s="24" t="str">
        <v>Global Private DebtH</v>
      </c>
      <c r="K1" s="24" t="str">
        <v>EU Private CreditH</v>
      </c>
      <c r="L1" s="24" t="e">
        <v>#REF!</v>
      </c>
      <c r="M1" s="24" t="e">
        <v>#REF!</v>
      </c>
      <c r="N1" s="24" t="e">
        <v>#REF!</v>
      </c>
      <c r="O1" s="24" t="e">
        <v>#REF!</v>
      </c>
      <c r="P1" s="24" t="e">
        <v>#REF!</v>
      </c>
      <c r="Q1" s="24" t="e">
        <v>#REF!</v>
      </c>
    </row>
    <row r="2" spans="1:17" x14ac:dyDescent="0.45">
      <c r="A2" s="14" t="e">
        <f>+asset_config!#REF!</f>
        <v>#REF!</v>
      </c>
      <c r="B2" s="15" t="e">
        <f>+asset_config!#REF!</f>
        <v>#REF!</v>
      </c>
      <c r="C2" s="15" t="e">
        <f>+asset_config!#REF!</f>
        <v>#REF!</v>
      </c>
      <c r="D2" s="16"/>
      <c r="F2" s="14" t="str">
        <f>cov!A2</f>
        <v>EUR Cash</v>
      </c>
      <c r="G2" s="17" t="e">
        <f>CORREL(INDEX(timeseries!$C$21:$G$92,,MATCH(cov!$A2,timeseries!$C$1:$G$1,0)),INDEX(timeseries!$C$21:$G$92,,MATCH(cov!B$1,timeseries!$C$1:$G$1,0)))</f>
        <v>#N/A</v>
      </c>
      <c r="H2" s="17" t="e">
        <f>CORREL(INDEX(timeseries!$C$21:$G$92,,MATCH(cov!$A2,timeseries!$C$1:$G$1,0)),INDEX(timeseries!$C$21:$G$92,,MATCH(cov!C$1,timeseries!$C$1:$G$1,0)))</f>
        <v>#N/A</v>
      </c>
      <c r="I2" s="17" t="e">
        <f>CORREL(INDEX(timeseries!$C$21:$G$92,,MATCH(cov!$A2,timeseries!$C$1:$G$1,0)),INDEX(timeseries!$C$21:$G$92,,MATCH(cov!D$1,timeseries!$C$1:$G$1,0)))</f>
        <v>#N/A</v>
      </c>
      <c r="J2" s="17" t="e">
        <f>CORREL(INDEX(timeseries!$C$21:$G$92,,MATCH(cov!$A2,timeseries!$C$1:$G$1,0)),INDEX(timeseries!$C$21:$G$92,,MATCH(cov!E$1,timeseries!$C$1:$G$1,0)))</f>
        <v>#N/A</v>
      </c>
      <c r="K2" s="17" t="e">
        <f>CORREL(INDEX(timeseries!$C$21:$G$92,,MATCH(cov!$A2,timeseries!$C$1:$G$1,0)),INDEX(timeseries!$C$21:$G$92,,MATCH(cov!F$1,timeseries!$C$1:$G$1,0)))</f>
        <v>#N/A</v>
      </c>
      <c r="L2" s="17" t="e">
        <f>CORREL(INDEX(timeseries!$C$21:$G$92,,MATCH(cov!$A2,timeseries!$C$1:$G$1,0)),INDEX(timeseries!$C$21:$G$92,,MATCH(cov!#REF!,timeseries!$C$1:$G$1,0)))</f>
        <v>#N/A</v>
      </c>
      <c r="M2" s="17" t="e">
        <f>CORREL(INDEX(timeseries!$C$21:$G$92,,MATCH(cov!$A2,timeseries!$C$1:$G$1,0)),INDEX(timeseries!$C$21:$G$92,,MATCH(cov!#REF!,timeseries!$C$1:$G$1,0)))</f>
        <v>#N/A</v>
      </c>
      <c r="N2" s="17" t="e">
        <f>CORREL(INDEX(timeseries!$C$21:$G$92,,MATCH(cov!$A2,timeseries!$C$1:$G$1,0)),INDEX(timeseries!$C$21:$G$92,,MATCH(cov!#REF!,timeseries!$C$1:$G$1,0)))</f>
        <v>#N/A</v>
      </c>
      <c r="O2" s="17" t="e">
        <f>CORREL(INDEX(timeseries!$C$21:$G$92,,MATCH(cov!$A2,timeseries!$C$1:$G$1,0)),INDEX(timeseries!$C$21:$G$92,,MATCH(cov!#REF!,timeseries!$C$1:$G$1,0)))</f>
        <v>#N/A</v>
      </c>
      <c r="P2" s="17" t="e">
        <f>CORREL(INDEX(timeseries!$C$21:$G$92,,MATCH(cov!$A2,timeseries!$C$1:$G$1,0)),INDEX(timeseries!$C$21:$G$92,,MATCH(cov!#REF!,timeseries!$C$1:$G$1,0)))</f>
        <v>#N/A</v>
      </c>
      <c r="Q2" s="17" t="e">
        <f>CORREL(INDEX(timeseries!$C$21:$G$92,,MATCH(cov!$A2,timeseries!$C$1:$G$1,0)),INDEX(timeseries!$C$21:$G$92,,MATCH(cov!#REF!,timeseries!$C$1:$G$1,0)))</f>
        <v>#N/A</v>
      </c>
    </row>
    <row r="3" spans="1:17" x14ac:dyDescent="0.45">
      <c r="A3" s="18" t="e">
        <f>+asset_config!#REF!</f>
        <v>#REF!</v>
      </c>
      <c r="B3" s="19" t="e">
        <f>+asset_config!#REF!</f>
        <v>#REF!</v>
      </c>
      <c r="C3" s="19" t="e">
        <f>+asset_config!#REF!</f>
        <v>#REF!</v>
      </c>
      <c r="D3" s="20" t="e">
        <f>+asset_config!#REF!</f>
        <v>#REF!</v>
      </c>
      <c r="F3" s="14" t="str">
        <f>cov!A4</f>
        <v>Barclays Global TreasuryH</v>
      </c>
      <c r="G3" s="17" t="e">
        <f>CORREL(INDEX(timeseries!$C$21:$G$92,,MATCH(cov!$A4,timeseries!$C$1:$G$1,0)),INDEX(timeseries!$C$21:$G$92,,MATCH(cov!B$1,timeseries!$C$1:$G$1,0)))</f>
        <v>#N/A</v>
      </c>
      <c r="H3" s="17">
        <f>CORREL(INDEX(timeseries!$C$21:$G$92,,MATCH(cov!$A4,timeseries!$C$1:$G$1,0)),INDEX(timeseries!$C$21:$G$92,,MATCH(cov!C$1,timeseries!$C$1:$G$1,0)))</f>
        <v>0.88955799049570328</v>
      </c>
      <c r="I3" s="17">
        <f>CORREL(INDEX(timeseries!$C$21:$G$92,,MATCH(cov!$A4,timeseries!$C$1:$G$1,0)),INDEX(timeseries!$C$21:$G$92,,MATCH(cov!D$1,timeseries!$C$1:$G$1,0)))</f>
        <v>1</v>
      </c>
      <c r="J3" s="17">
        <f>CORREL(INDEX(timeseries!$C$21:$G$92,,MATCH(cov!$A4,timeseries!$C$1:$G$1,0)),INDEX(timeseries!$C$21:$G$92,,MATCH(cov!E$1,timeseries!$C$1:$G$1,0)))</f>
        <v>-0.23243384901050834</v>
      </c>
      <c r="K3" s="17">
        <f>CORREL(INDEX(timeseries!$C$21:$G$92,,MATCH(cov!$A4,timeseries!$C$1:$G$1,0)),INDEX(timeseries!$C$21:$G$92,,MATCH(cov!F$1,timeseries!$C$1:$G$1,0)))</f>
        <v>-0.34916780086465105</v>
      </c>
      <c r="L3" s="17" t="e">
        <f>CORREL(INDEX(timeseries!$C$21:$G$92,,MATCH(cov!$A4,timeseries!$C$1:$G$1,0)),INDEX(timeseries!$C$21:$G$92,,MATCH(cov!#REF!,timeseries!$C$1:$G$1,0)))</f>
        <v>#REF!</v>
      </c>
      <c r="M3" s="17" t="e">
        <f>CORREL(INDEX(timeseries!$C$21:$G$92,,MATCH(cov!$A4,timeseries!$C$1:$G$1,0)),INDEX(timeseries!$C$21:$G$92,,MATCH(cov!#REF!,timeseries!$C$1:$G$1,0)))</f>
        <v>#REF!</v>
      </c>
      <c r="N3" s="17" t="e">
        <f>CORREL(INDEX(timeseries!$C$21:$G$92,,MATCH(cov!$A4,timeseries!$C$1:$G$1,0)),INDEX(timeseries!$C$21:$G$92,,MATCH(cov!#REF!,timeseries!$C$1:$G$1,0)))</f>
        <v>#REF!</v>
      </c>
      <c r="O3" s="17" t="e">
        <f>CORREL(INDEX(timeseries!$C$21:$G$92,,MATCH(cov!$A4,timeseries!$C$1:$G$1,0)),INDEX(timeseries!$C$21:$G$92,,MATCH(cov!#REF!,timeseries!$C$1:$G$1,0)))</f>
        <v>#REF!</v>
      </c>
      <c r="P3" s="17" t="e">
        <f>CORREL(INDEX(timeseries!$C$21:$G$92,,MATCH(cov!$A4,timeseries!$C$1:$G$1,0)),INDEX(timeseries!$C$21:$G$92,,MATCH(cov!#REF!,timeseries!$C$1:$G$1,0)))</f>
        <v>#REF!</v>
      </c>
      <c r="Q3" s="17" t="e">
        <f>CORREL(INDEX(timeseries!$C$21:$G$92,,MATCH(cov!$A4,timeseries!$C$1:$G$1,0)),INDEX(timeseries!$C$21:$G$92,,MATCH(cov!#REF!,timeseries!$C$1:$G$1,0)))</f>
        <v>#REF!</v>
      </c>
    </row>
    <row r="4" spans="1:17" x14ac:dyDescent="0.45">
      <c r="A4" s="14" t="e">
        <f>+asset_config!#REF!</f>
        <v>#REF!</v>
      </c>
      <c r="B4" s="15" t="e">
        <f>+asset_config!#REF!</f>
        <v>#REF!</v>
      </c>
      <c r="C4" s="15" t="e">
        <f>+asset_config!#REF!</f>
        <v>#REF!</v>
      </c>
      <c r="D4" s="16" t="e">
        <f>+asset_config!#REF!</f>
        <v>#REF!</v>
      </c>
      <c r="F4" s="14" t="str">
        <f>cov!A5</f>
        <v>World EquityU</v>
      </c>
      <c r="G4" s="17" t="e">
        <f>CORREL(INDEX(timeseries!$C$21:$G$92,,MATCH(cov!$A5,timeseries!$C$1:$G$1,0)),INDEX(timeseries!$C$21:$G$92,,MATCH(cov!B$1,timeseries!$C$1:$G$1,0)))</f>
        <v>#N/A</v>
      </c>
      <c r="H4" s="17">
        <f>CORREL(INDEX(timeseries!$C$21:$G$92,,MATCH(cov!$A5,timeseries!$C$1:$G$1,0)),INDEX(timeseries!$C$21:$G$92,,MATCH(cov!C$1,timeseries!$C$1:$G$1,0)))</f>
        <v>5.7929023118661856E-3</v>
      </c>
      <c r="I4" s="17">
        <f>CORREL(INDEX(timeseries!$C$21:$G$92,,MATCH(cov!$A5,timeseries!$C$1:$G$1,0)),INDEX(timeseries!$C$21:$G$92,,MATCH(cov!D$1,timeseries!$C$1:$G$1,0)))</f>
        <v>-0.23243384901050834</v>
      </c>
      <c r="J4" s="17">
        <f>CORREL(INDEX(timeseries!$C$21:$G$92,,MATCH(cov!$A5,timeseries!$C$1:$G$1,0)),INDEX(timeseries!$C$21:$G$92,,MATCH(cov!E$1,timeseries!$C$1:$G$1,0)))</f>
        <v>1.0000000000000002</v>
      </c>
      <c r="K4" s="17">
        <f>CORREL(INDEX(timeseries!$C$21:$G$92,,MATCH(cov!$A5,timeseries!$C$1:$G$1,0)),INDEX(timeseries!$C$21:$G$92,,MATCH(cov!F$1,timeseries!$C$1:$G$1,0)))</f>
        <v>0.68681230219332956</v>
      </c>
      <c r="L4" s="17" t="e">
        <f>CORREL(INDEX(timeseries!$C$21:$G$92,,MATCH(cov!$A5,timeseries!$C$1:$G$1,0)),INDEX(timeseries!$C$21:$G$92,,MATCH(cov!#REF!,timeseries!$C$1:$G$1,0)))</f>
        <v>#REF!</v>
      </c>
      <c r="M4" s="17" t="e">
        <f>CORREL(INDEX(timeseries!$C$21:$G$92,,MATCH(cov!$A5,timeseries!$C$1:$G$1,0)),INDEX(timeseries!$C$21:$G$92,,MATCH(cov!#REF!,timeseries!$C$1:$G$1,0)))</f>
        <v>#REF!</v>
      </c>
      <c r="N4" s="17" t="e">
        <f>CORREL(INDEX(timeseries!$C$21:$G$92,,MATCH(cov!$A5,timeseries!$C$1:$G$1,0)),INDEX(timeseries!$C$21:$G$92,,MATCH(cov!#REF!,timeseries!$C$1:$G$1,0)))</f>
        <v>#REF!</v>
      </c>
      <c r="O4" s="17" t="e">
        <f>CORREL(INDEX(timeseries!$C$21:$G$92,,MATCH(cov!$A5,timeseries!$C$1:$G$1,0)),INDEX(timeseries!$C$21:$G$92,,MATCH(cov!#REF!,timeseries!$C$1:$G$1,0)))</f>
        <v>#REF!</v>
      </c>
      <c r="P4" s="17" t="e">
        <f>CORREL(INDEX(timeseries!$C$21:$G$92,,MATCH(cov!$A5,timeseries!$C$1:$G$1,0)),INDEX(timeseries!$C$21:$G$92,,MATCH(cov!#REF!,timeseries!$C$1:$G$1,0)))</f>
        <v>#REF!</v>
      </c>
      <c r="Q4" s="17" t="e">
        <f>CORREL(INDEX(timeseries!$C$21:$G$92,,MATCH(cov!$A5,timeseries!$C$1:$G$1,0)),INDEX(timeseries!$C$21:$G$92,,MATCH(cov!#REF!,timeseries!$C$1:$G$1,0)))</f>
        <v>#REF!</v>
      </c>
    </row>
    <row r="5" spans="1:17" x14ac:dyDescent="0.45">
      <c r="A5" s="18" t="e">
        <f>+asset_config!#REF!</f>
        <v>#REF!</v>
      </c>
      <c r="B5" s="19" t="e">
        <f>+asset_config!#REF!</f>
        <v>#REF!</v>
      </c>
      <c r="C5" s="19" t="e">
        <f>+asset_config!#REF!</f>
        <v>#REF!</v>
      </c>
      <c r="D5" s="20" t="e">
        <f>+asset_config!#REF!</f>
        <v>#REF!</v>
      </c>
      <c r="F5" s="14" t="str">
        <f>cov!A6</f>
        <v>Global Private DebtH</v>
      </c>
      <c r="G5" s="17" t="e">
        <f>CORREL(INDEX(timeseries!$C$21:$G$92,,MATCH(cov!$A6,timeseries!$C$1:$G$1,0)),INDEX(timeseries!$C$21:$G$92,,MATCH(cov!B$1,timeseries!$C$1:$G$1,0)))</f>
        <v>#N/A</v>
      </c>
      <c r="H5" s="17">
        <f>CORREL(INDEX(timeseries!$C$21:$G$92,,MATCH(cov!$A6,timeseries!$C$1:$G$1,0)),INDEX(timeseries!$C$21:$G$92,,MATCH(cov!C$1,timeseries!$C$1:$G$1,0)))</f>
        <v>-0.13762892553025391</v>
      </c>
      <c r="I5" s="17">
        <f>CORREL(INDEX(timeseries!$C$21:$G$92,,MATCH(cov!$A6,timeseries!$C$1:$G$1,0)),INDEX(timeseries!$C$21:$G$92,,MATCH(cov!D$1,timeseries!$C$1:$G$1,0)))</f>
        <v>-0.34916780086465105</v>
      </c>
      <c r="J5" s="17">
        <f>CORREL(INDEX(timeseries!$C$21:$G$92,,MATCH(cov!$A6,timeseries!$C$1:$G$1,0)),INDEX(timeseries!$C$21:$G$92,,MATCH(cov!E$1,timeseries!$C$1:$G$1,0)))</f>
        <v>0.68681230219332956</v>
      </c>
      <c r="K5" s="17">
        <f>CORREL(INDEX(timeseries!$C$21:$G$92,,MATCH(cov!$A6,timeseries!$C$1:$G$1,0)),INDEX(timeseries!$C$21:$G$92,,MATCH(cov!F$1,timeseries!$C$1:$G$1,0)))</f>
        <v>0.99999999999999978</v>
      </c>
      <c r="L5" s="17" t="e">
        <f>CORREL(INDEX(timeseries!$C$21:$G$92,,MATCH(cov!$A6,timeseries!$C$1:$G$1,0)),INDEX(timeseries!$C$21:$G$92,,MATCH(cov!#REF!,timeseries!$C$1:$G$1,0)))</f>
        <v>#REF!</v>
      </c>
      <c r="M5" s="17" t="e">
        <f>CORREL(INDEX(timeseries!$C$21:$G$92,,MATCH(cov!$A6,timeseries!$C$1:$G$1,0)),INDEX(timeseries!$C$21:$G$92,,MATCH(cov!#REF!,timeseries!$C$1:$G$1,0)))</f>
        <v>#REF!</v>
      </c>
      <c r="N5" s="17" t="e">
        <f>CORREL(INDEX(timeseries!$C$21:$G$92,,MATCH(cov!$A6,timeseries!$C$1:$G$1,0)),INDEX(timeseries!$C$21:$G$92,,MATCH(cov!#REF!,timeseries!$C$1:$G$1,0)))</f>
        <v>#REF!</v>
      </c>
      <c r="O5" s="17" t="e">
        <f>CORREL(INDEX(timeseries!$C$21:$G$92,,MATCH(cov!$A6,timeseries!$C$1:$G$1,0)),INDEX(timeseries!$C$21:$G$92,,MATCH(cov!#REF!,timeseries!$C$1:$G$1,0)))</f>
        <v>#REF!</v>
      </c>
      <c r="P5" s="17" t="e">
        <f>CORREL(INDEX(timeseries!$C$21:$G$92,,MATCH(cov!$A6,timeseries!$C$1:$G$1,0)),INDEX(timeseries!$C$21:$G$92,,MATCH(cov!#REF!,timeseries!$C$1:$G$1,0)))</f>
        <v>#REF!</v>
      </c>
      <c r="Q5" s="17" t="e">
        <f>CORREL(INDEX(timeseries!$C$21:$G$92,,MATCH(cov!$A6,timeseries!$C$1:$G$1,0)),INDEX(timeseries!$C$21:$G$92,,MATCH(cov!#REF!,timeseries!$C$1:$G$1,0)))</f>
        <v>#REF!</v>
      </c>
    </row>
    <row r="6" spans="1:17" x14ac:dyDescent="0.45">
      <c r="A6" s="14" t="e">
        <f>+asset_config!#REF!</f>
        <v>#REF!</v>
      </c>
      <c r="B6" s="15" t="e">
        <f>+asset_config!#REF!</f>
        <v>#REF!</v>
      </c>
      <c r="C6" s="15" t="e">
        <f>+asset_config!#REF!</f>
        <v>#REF!</v>
      </c>
      <c r="D6" s="16" t="e">
        <f>+asset_config!#REF!</f>
        <v>#REF!</v>
      </c>
      <c r="F6" s="14" t="str">
        <f>cov!A7</f>
        <v>EU Private CreditH</v>
      </c>
      <c r="G6" s="17" t="e">
        <f>CORREL(INDEX(timeseries!$C$21:$G$92,,MATCH(cov!$A7,timeseries!$C$1:$G$1,0)),INDEX(timeseries!$C$21:$G$92,,MATCH(cov!B$1,timeseries!$C$1:$G$1,0)))</f>
        <v>#N/A</v>
      </c>
      <c r="H6" s="17">
        <f>CORREL(INDEX(timeseries!$C$21:$G$92,,MATCH(cov!$A7,timeseries!$C$1:$G$1,0)),INDEX(timeseries!$C$21:$G$92,,MATCH(cov!C$1,timeseries!$C$1:$G$1,0)))</f>
        <v>-0.2401474955349662</v>
      </c>
      <c r="I6" s="17">
        <f>CORREL(INDEX(timeseries!$C$21:$G$92,,MATCH(cov!$A7,timeseries!$C$1:$G$1,0)),INDEX(timeseries!$C$21:$G$92,,MATCH(cov!D$1,timeseries!$C$1:$G$1,0)))</f>
        <v>-0.40343117151983243</v>
      </c>
      <c r="J6" s="17">
        <f>CORREL(INDEX(timeseries!$C$21:$G$92,,MATCH(cov!$A7,timeseries!$C$1:$G$1,0)),INDEX(timeseries!$C$21:$G$92,,MATCH(cov!E$1,timeseries!$C$1:$G$1,0)))</f>
        <v>0.56243789164889546</v>
      </c>
      <c r="K6" s="17">
        <f>CORREL(INDEX(timeseries!$C$21:$G$92,,MATCH(cov!$A7,timeseries!$C$1:$G$1,0)),INDEX(timeseries!$C$21:$G$92,,MATCH(cov!F$1,timeseries!$C$1:$G$1,0)))</f>
        <v>0.68463175445684465</v>
      </c>
      <c r="L6" s="17" t="e">
        <f>CORREL(INDEX(timeseries!$C$21:$G$92,,MATCH(cov!$A7,timeseries!$C$1:$G$1,0)),INDEX(timeseries!$C$21:$G$92,,MATCH(cov!#REF!,timeseries!$C$1:$G$1,0)))</f>
        <v>#REF!</v>
      </c>
      <c r="M6" s="17" t="e">
        <f>CORREL(INDEX(timeseries!$C$21:$G$92,,MATCH(cov!$A7,timeseries!$C$1:$G$1,0)),INDEX(timeseries!$C$21:$G$92,,MATCH(cov!#REF!,timeseries!$C$1:$G$1,0)))</f>
        <v>#REF!</v>
      </c>
      <c r="N6" s="17" t="e">
        <f>CORREL(INDEX(timeseries!$C$21:$G$92,,MATCH(cov!$A7,timeseries!$C$1:$G$1,0)),INDEX(timeseries!$C$21:$G$92,,MATCH(cov!#REF!,timeseries!$C$1:$G$1,0)))</f>
        <v>#REF!</v>
      </c>
      <c r="O6" s="17" t="e">
        <f>CORREL(INDEX(timeseries!$C$21:$G$92,,MATCH(cov!$A7,timeseries!$C$1:$G$1,0)),INDEX(timeseries!$C$21:$G$92,,MATCH(cov!#REF!,timeseries!$C$1:$G$1,0)))</f>
        <v>#REF!</v>
      </c>
      <c r="P6" s="17" t="e">
        <f>CORREL(INDEX(timeseries!$C$21:$G$92,,MATCH(cov!$A7,timeseries!$C$1:$G$1,0)),INDEX(timeseries!$C$21:$G$92,,MATCH(cov!#REF!,timeseries!$C$1:$G$1,0)))</f>
        <v>#REF!</v>
      </c>
      <c r="Q6" s="17" t="e">
        <f>CORREL(INDEX(timeseries!$C$21:$G$92,,MATCH(cov!$A7,timeseries!$C$1:$G$1,0)),INDEX(timeseries!$C$21:$G$92,,MATCH(cov!#REF!,timeseries!$C$1:$G$1,0)))</f>
        <v>#REF!</v>
      </c>
    </row>
    <row r="7" spans="1:17" x14ac:dyDescent="0.45">
      <c r="A7" s="18" t="e">
        <f>+asset_config!#REF!</f>
        <v>#REF!</v>
      </c>
      <c r="B7" s="19" t="e">
        <f>+asset_config!#REF!</f>
        <v>#REF!</v>
      </c>
      <c r="C7" s="19" t="e">
        <f>+asset_config!#REF!</f>
        <v>#REF!</v>
      </c>
      <c r="D7" s="20" t="e">
        <f>+asset_config!#REF!</f>
        <v>#REF!</v>
      </c>
      <c r="F7" s="14" t="e">
        <f>cov!#REF!</f>
        <v>#REF!</v>
      </c>
      <c r="G7" s="17" t="e">
        <f>CORREL(INDEX(timeseries!$C$21:$G$92,,MATCH(cov!#REF!,timeseries!$C$1:$G$1,0)),INDEX(timeseries!$C$21:$G$92,,MATCH(cov!B$1,timeseries!$C$1:$G$1,0)))</f>
        <v>#REF!</v>
      </c>
      <c r="H7" s="17" t="e">
        <f>CORREL(INDEX(timeseries!$C$21:$G$92,,MATCH(cov!#REF!,timeseries!$C$1:$G$1,0)),INDEX(timeseries!$C$21:$G$92,,MATCH(cov!C$1,timeseries!$C$1:$G$1,0)))</f>
        <v>#REF!</v>
      </c>
      <c r="I7" s="17" t="e">
        <f>CORREL(INDEX(timeseries!$C$21:$G$92,,MATCH(cov!#REF!,timeseries!$C$1:$G$1,0)),INDEX(timeseries!$C$21:$G$92,,MATCH(cov!D$1,timeseries!$C$1:$G$1,0)))</f>
        <v>#REF!</v>
      </c>
      <c r="J7" s="17" t="e">
        <f>CORREL(INDEX(timeseries!$C$21:$G$92,,MATCH(cov!#REF!,timeseries!$C$1:$G$1,0)),INDEX(timeseries!$C$21:$G$92,,MATCH(cov!E$1,timeseries!$C$1:$G$1,0)))</f>
        <v>#REF!</v>
      </c>
      <c r="K7" s="17" t="e">
        <f>CORREL(INDEX(timeseries!$C$21:$G$92,,MATCH(cov!#REF!,timeseries!$C$1:$G$1,0)),INDEX(timeseries!$C$21:$G$92,,MATCH(cov!F$1,timeseries!$C$1:$G$1,0)))</f>
        <v>#REF!</v>
      </c>
      <c r="L7" s="17" t="e">
        <f>CORREL(INDEX(timeseries!$C$21:$G$92,,MATCH(cov!#REF!,timeseries!$C$1:$G$1,0)),INDEX(timeseries!$C$21:$G$92,,MATCH(cov!#REF!,timeseries!$C$1:$G$1,0)))</f>
        <v>#REF!</v>
      </c>
      <c r="M7" s="17" t="e">
        <f>CORREL(INDEX(timeseries!$C$21:$G$92,,MATCH(cov!#REF!,timeseries!$C$1:$G$1,0)),INDEX(timeseries!$C$21:$G$92,,MATCH(cov!#REF!,timeseries!$C$1:$G$1,0)))</f>
        <v>#REF!</v>
      </c>
      <c r="N7" s="17" t="e">
        <f>CORREL(INDEX(timeseries!$C$21:$G$92,,MATCH(cov!#REF!,timeseries!$C$1:$G$1,0)),INDEX(timeseries!$C$21:$G$92,,MATCH(cov!#REF!,timeseries!$C$1:$G$1,0)))</f>
        <v>#REF!</v>
      </c>
      <c r="O7" s="17" t="e">
        <f>CORREL(INDEX(timeseries!$C$21:$G$92,,MATCH(cov!#REF!,timeseries!$C$1:$G$1,0)),INDEX(timeseries!$C$21:$G$92,,MATCH(cov!#REF!,timeseries!$C$1:$G$1,0)))</f>
        <v>#REF!</v>
      </c>
      <c r="P7" s="17" t="e">
        <f>CORREL(INDEX(timeseries!$C$21:$G$92,,MATCH(cov!#REF!,timeseries!$C$1:$G$1,0)),INDEX(timeseries!$C$21:$G$92,,MATCH(cov!#REF!,timeseries!$C$1:$G$1,0)))</f>
        <v>#REF!</v>
      </c>
      <c r="Q7" s="17" t="e">
        <f>CORREL(INDEX(timeseries!$C$21:$G$92,,MATCH(cov!#REF!,timeseries!$C$1:$G$1,0)),INDEX(timeseries!$C$21:$G$92,,MATCH(cov!#REF!,timeseries!$C$1:$G$1,0)))</f>
        <v>#REF!</v>
      </c>
    </row>
    <row r="8" spans="1:17" x14ac:dyDescent="0.45">
      <c r="A8" s="14" t="e">
        <f>+asset_config!#REF!</f>
        <v>#REF!</v>
      </c>
      <c r="B8" s="15" t="e">
        <f>+asset_config!#REF!</f>
        <v>#REF!</v>
      </c>
      <c r="C8" s="15" t="e">
        <f>+asset_config!#REF!</f>
        <v>#REF!</v>
      </c>
      <c r="D8" s="16" t="e">
        <f>+asset_config!#REF!</f>
        <v>#REF!</v>
      </c>
      <c r="F8" s="14" t="e">
        <f>cov!#REF!</f>
        <v>#REF!</v>
      </c>
      <c r="G8" s="17" t="e">
        <f>CORREL(INDEX(timeseries!$C$21:$G$92,,MATCH(cov!#REF!,timeseries!$C$1:$G$1,0)),INDEX(timeseries!$C$21:$G$92,,MATCH(cov!B$1,timeseries!$C$1:$G$1,0)))</f>
        <v>#REF!</v>
      </c>
      <c r="H8" s="17" t="e">
        <f>CORREL(INDEX(timeseries!$C$21:$G$92,,MATCH(cov!#REF!,timeseries!$C$1:$G$1,0)),INDEX(timeseries!$C$21:$G$92,,MATCH(cov!C$1,timeseries!$C$1:$G$1,0)))</f>
        <v>#REF!</v>
      </c>
      <c r="I8" s="17" t="e">
        <f>CORREL(INDEX(timeseries!$C$21:$G$92,,MATCH(cov!#REF!,timeseries!$C$1:$G$1,0)),INDEX(timeseries!$C$21:$G$92,,MATCH(cov!D$1,timeseries!$C$1:$G$1,0)))</f>
        <v>#REF!</v>
      </c>
      <c r="J8" s="17" t="e">
        <f>CORREL(INDEX(timeseries!$C$21:$G$92,,MATCH(cov!#REF!,timeseries!$C$1:$G$1,0)),INDEX(timeseries!$C$21:$G$92,,MATCH(cov!E$1,timeseries!$C$1:$G$1,0)))</f>
        <v>#REF!</v>
      </c>
      <c r="K8" s="17" t="e">
        <f>CORREL(INDEX(timeseries!$C$21:$G$92,,MATCH(cov!#REF!,timeseries!$C$1:$G$1,0)),INDEX(timeseries!$C$21:$G$92,,MATCH(cov!F$1,timeseries!$C$1:$G$1,0)))</f>
        <v>#REF!</v>
      </c>
      <c r="L8" s="17" t="e">
        <f>CORREL(INDEX(timeseries!$C$21:$G$92,,MATCH(cov!#REF!,timeseries!$C$1:$G$1,0)),INDEX(timeseries!$C$21:$G$92,,MATCH(cov!#REF!,timeseries!$C$1:$G$1,0)))</f>
        <v>#REF!</v>
      </c>
      <c r="M8" s="17" t="e">
        <f>CORREL(INDEX(timeseries!$C$21:$G$92,,MATCH(cov!#REF!,timeseries!$C$1:$G$1,0)),INDEX(timeseries!$C$21:$G$92,,MATCH(cov!#REF!,timeseries!$C$1:$G$1,0)))</f>
        <v>#REF!</v>
      </c>
      <c r="N8" s="17" t="e">
        <f>CORREL(INDEX(timeseries!$C$21:$G$92,,MATCH(cov!#REF!,timeseries!$C$1:$G$1,0)),INDEX(timeseries!$C$21:$G$92,,MATCH(cov!#REF!,timeseries!$C$1:$G$1,0)))</f>
        <v>#REF!</v>
      </c>
      <c r="O8" s="17" t="e">
        <f>CORREL(INDEX(timeseries!$C$21:$G$92,,MATCH(cov!#REF!,timeseries!$C$1:$G$1,0)),INDEX(timeseries!$C$21:$G$92,,MATCH(cov!#REF!,timeseries!$C$1:$G$1,0)))</f>
        <v>#REF!</v>
      </c>
      <c r="P8" s="17" t="e">
        <f>CORREL(INDEX(timeseries!$C$21:$G$92,,MATCH(cov!#REF!,timeseries!$C$1:$G$1,0)),INDEX(timeseries!$C$21:$G$92,,MATCH(cov!#REF!,timeseries!$C$1:$G$1,0)))</f>
        <v>#REF!</v>
      </c>
      <c r="Q8" s="17" t="e">
        <f>CORREL(INDEX(timeseries!$C$21:$G$92,,MATCH(cov!#REF!,timeseries!$C$1:$G$1,0)),INDEX(timeseries!$C$21:$G$92,,MATCH(cov!#REF!,timeseries!$C$1:$G$1,0)))</f>
        <v>#REF!</v>
      </c>
    </row>
    <row r="9" spans="1:17" x14ac:dyDescent="0.45">
      <c r="A9" s="18" t="e">
        <f>+asset_config!#REF!</f>
        <v>#REF!</v>
      </c>
      <c r="B9" s="19" t="e">
        <f>+asset_config!#REF!</f>
        <v>#REF!</v>
      </c>
      <c r="C9" s="19" t="e">
        <f>+asset_config!#REF!</f>
        <v>#REF!</v>
      </c>
      <c r="D9" s="20" t="e">
        <f>+asset_config!#REF!</f>
        <v>#REF!</v>
      </c>
      <c r="F9" s="14" t="e">
        <f>cov!#REF!</f>
        <v>#REF!</v>
      </c>
      <c r="G9" s="17" t="e">
        <f>CORREL(INDEX(timeseries!$C$21:$G$92,,MATCH(cov!#REF!,timeseries!$C$1:$G$1,0)),INDEX(timeseries!$C$21:$G$92,,MATCH(cov!B$1,timeseries!$C$1:$G$1,0)))</f>
        <v>#REF!</v>
      </c>
      <c r="H9" s="17" t="e">
        <f>CORREL(INDEX(timeseries!$C$21:$G$92,,MATCH(cov!#REF!,timeseries!$C$1:$G$1,0)),INDEX(timeseries!$C$21:$G$92,,MATCH(cov!C$1,timeseries!$C$1:$G$1,0)))</f>
        <v>#REF!</v>
      </c>
      <c r="I9" s="17" t="e">
        <f>CORREL(INDEX(timeseries!$C$21:$G$92,,MATCH(cov!#REF!,timeseries!$C$1:$G$1,0)),INDEX(timeseries!$C$21:$G$92,,MATCH(cov!D$1,timeseries!$C$1:$G$1,0)))</f>
        <v>#REF!</v>
      </c>
      <c r="J9" s="17" t="e">
        <f>CORREL(INDEX(timeseries!$C$21:$G$92,,MATCH(cov!#REF!,timeseries!$C$1:$G$1,0)),INDEX(timeseries!$C$21:$G$92,,MATCH(cov!E$1,timeseries!$C$1:$G$1,0)))</f>
        <v>#REF!</v>
      </c>
      <c r="K9" s="17" t="e">
        <f>CORREL(INDEX(timeseries!$C$21:$G$92,,MATCH(cov!#REF!,timeseries!$C$1:$G$1,0)),INDEX(timeseries!$C$21:$G$92,,MATCH(cov!F$1,timeseries!$C$1:$G$1,0)))</f>
        <v>#REF!</v>
      </c>
      <c r="L9" s="17" t="e">
        <f>CORREL(INDEX(timeseries!$C$21:$G$92,,MATCH(cov!#REF!,timeseries!$C$1:$G$1,0)),INDEX(timeseries!$C$21:$G$92,,MATCH(cov!#REF!,timeseries!$C$1:$G$1,0)))</f>
        <v>#REF!</v>
      </c>
      <c r="M9" s="17" t="e">
        <f>CORREL(INDEX(timeseries!$C$21:$G$92,,MATCH(cov!#REF!,timeseries!$C$1:$G$1,0)),INDEX(timeseries!$C$21:$G$92,,MATCH(cov!#REF!,timeseries!$C$1:$G$1,0)))</f>
        <v>#REF!</v>
      </c>
      <c r="N9" s="17" t="e">
        <f>CORREL(INDEX(timeseries!$C$21:$G$92,,MATCH(cov!#REF!,timeseries!$C$1:$G$1,0)),INDEX(timeseries!$C$21:$G$92,,MATCH(cov!#REF!,timeseries!$C$1:$G$1,0)))</f>
        <v>#REF!</v>
      </c>
      <c r="O9" s="17" t="e">
        <f>CORREL(INDEX(timeseries!$C$21:$G$92,,MATCH(cov!#REF!,timeseries!$C$1:$G$1,0)),INDEX(timeseries!$C$21:$G$92,,MATCH(cov!#REF!,timeseries!$C$1:$G$1,0)))</f>
        <v>#REF!</v>
      </c>
      <c r="P9" s="17" t="e">
        <f>CORREL(INDEX(timeseries!$C$21:$G$92,,MATCH(cov!#REF!,timeseries!$C$1:$G$1,0)),INDEX(timeseries!$C$21:$G$92,,MATCH(cov!#REF!,timeseries!$C$1:$G$1,0)))</f>
        <v>#REF!</v>
      </c>
      <c r="Q9" s="17" t="e">
        <f>CORREL(INDEX(timeseries!$C$21:$G$92,,MATCH(cov!#REF!,timeseries!$C$1:$G$1,0)),INDEX(timeseries!$C$21:$G$92,,MATCH(cov!#REF!,timeseries!$C$1:$G$1,0)))</f>
        <v>#REF!</v>
      </c>
    </row>
    <row r="10" spans="1:17" x14ac:dyDescent="0.45">
      <c r="A10" s="14" t="e">
        <f>+asset_config!#REF!</f>
        <v>#REF!</v>
      </c>
      <c r="B10" s="15" t="e">
        <f>+asset_config!#REF!</f>
        <v>#REF!</v>
      </c>
      <c r="C10" s="15" t="e">
        <f>+asset_config!#REF!</f>
        <v>#REF!</v>
      </c>
      <c r="D10" s="16" t="e">
        <f>+asset_config!#REF!</f>
        <v>#REF!</v>
      </c>
      <c r="F10" s="14" t="e">
        <f>cov!#REF!</f>
        <v>#REF!</v>
      </c>
      <c r="G10" s="17" t="e">
        <f>CORREL(INDEX(timeseries!$C$21:$G$92,,MATCH(cov!#REF!,timeseries!$C$1:$G$1,0)),INDEX(timeseries!$C$21:$G$92,,MATCH(cov!B$1,timeseries!$C$1:$G$1,0)))</f>
        <v>#REF!</v>
      </c>
      <c r="H10" s="17" t="e">
        <f>CORREL(INDEX(timeseries!$C$21:$G$92,,MATCH(cov!#REF!,timeseries!$C$1:$G$1,0)),INDEX(timeseries!$C$21:$G$92,,MATCH(cov!C$1,timeseries!$C$1:$G$1,0)))</f>
        <v>#REF!</v>
      </c>
      <c r="I10" s="17" t="e">
        <f>CORREL(INDEX(timeseries!$C$21:$G$92,,MATCH(cov!#REF!,timeseries!$C$1:$G$1,0)),INDEX(timeseries!$C$21:$G$92,,MATCH(cov!D$1,timeseries!$C$1:$G$1,0)))</f>
        <v>#REF!</v>
      </c>
      <c r="J10" s="17" t="e">
        <f>CORREL(INDEX(timeseries!$C$21:$G$92,,MATCH(cov!#REF!,timeseries!$C$1:$G$1,0)),INDEX(timeseries!$C$21:$G$92,,MATCH(cov!E$1,timeseries!$C$1:$G$1,0)))</f>
        <v>#REF!</v>
      </c>
      <c r="K10" s="17" t="e">
        <f>CORREL(INDEX(timeseries!$C$21:$G$92,,MATCH(cov!#REF!,timeseries!$C$1:$G$1,0)),INDEX(timeseries!$C$21:$G$92,,MATCH(cov!F$1,timeseries!$C$1:$G$1,0)))</f>
        <v>#REF!</v>
      </c>
      <c r="L10" s="17" t="e">
        <f>CORREL(INDEX(timeseries!$C$21:$G$92,,MATCH(cov!#REF!,timeseries!$C$1:$G$1,0)),INDEX(timeseries!$C$21:$G$92,,MATCH(cov!#REF!,timeseries!$C$1:$G$1,0)))</f>
        <v>#REF!</v>
      </c>
      <c r="M10" s="17" t="e">
        <f>CORREL(INDEX(timeseries!$C$21:$G$92,,MATCH(cov!#REF!,timeseries!$C$1:$G$1,0)),INDEX(timeseries!$C$21:$G$92,,MATCH(cov!#REF!,timeseries!$C$1:$G$1,0)))</f>
        <v>#REF!</v>
      </c>
      <c r="N10" s="17" t="e">
        <f>CORREL(INDEX(timeseries!$C$21:$G$92,,MATCH(cov!#REF!,timeseries!$C$1:$G$1,0)),INDEX(timeseries!$C$21:$G$92,,MATCH(cov!#REF!,timeseries!$C$1:$G$1,0)))</f>
        <v>#REF!</v>
      </c>
      <c r="O10" s="17" t="e">
        <f>CORREL(INDEX(timeseries!$C$21:$G$92,,MATCH(cov!#REF!,timeseries!$C$1:$G$1,0)),INDEX(timeseries!$C$21:$G$92,,MATCH(cov!#REF!,timeseries!$C$1:$G$1,0)))</f>
        <v>#REF!</v>
      </c>
      <c r="P10" s="17" t="e">
        <f>CORREL(INDEX(timeseries!$C$21:$G$92,,MATCH(cov!#REF!,timeseries!$C$1:$G$1,0)),INDEX(timeseries!$C$21:$G$92,,MATCH(cov!#REF!,timeseries!$C$1:$G$1,0)))</f>
        <v>#REF!</v>
      </c>
      <c r="Q10" s="17" t="e">
        <f>CORREL(INDEX(timeseries!$C$21:$G$92,,MATCH(cov!#REF!,timeseries!$C$1:$G$1,0)),INDEX(timeseries!$C$21:$G$92,,MATCH(cov!#REF!,timeseries!$C$1:$G$1,0)))</f>
        <v>#REF!</v>
      </c>
    </row>
    <row r="11" spans="1:17" x14ac:dyDescent="0.45">
      <c r="A11" s="18" t="e">
        <f>+asset_config!#REF!</f>
        <v>#REF!</v>
      </c>
      <c r="B11" s="19" t="e">
        <f>+asset_config!#REF!</f>
        <v>#REF!</v>
      </c>
      <c r="C11" s="19" t="e">
        <f>+asset_config!#REF!</f>
        <v>#REF!</v>
      </c>
      <c r="D11" s="20" t="e">
        <f>+asset_config!#REF!</f>
        <v>#REF!</v>
      </c>
      <c r="F11" s="14" t="e">
        <f>cov!#REF!</f>
        <v>#REF!</v>
      </c>
      <c r="G11" s="17" t="e">
        <f>CORREL(INDEX(timeseries!$C$21:$G$92,,MATCH(cov!#REF!,timeseries!$C$1:$G$1,0)),INDEX(timeseries!$C$21:$G$92,,MATCH(cov!B$1,timeseries!$C$1:$G$1,0)))</f>
        <v>#REF!</v>
      </c>
      <c r="H11" s="17" t="e">
        <f>CORREL(INDEX(timeseries!$C$21:$G$92,,MATCH(cov!#REF!,timeseries!$C$1:$G$1,0)),INDEX(timeseries!$C$21:$G$92,,MATCH(cov!C$1,timeseries!$C$1:$G$1,0)))</f>
        <v>#REF!</v>
      </c>
      <c r="I11" s="17" t="e">
        <f>CORREL(INDEX(timeseries!$C$21:$G$92,,MATCH(cov!#REF!,timeseries!$C$1:$G$1,0)),INDEX(timeseries!$C$21:$G$92,,MATCH(cov!D$1,timeseries!$C$1:$G$1,0)))</f>
        <v>#REF!</v>
      </c>
      <c r="J11" s="17" t="e">
        <f>CORREL(INDEX(timeseries!$C$21:$G$92,,MATCH(cov!#REF!,timeseries!$C$1:$G$1,0)),INDEX(timeseries!$C$21:$G$92,,MATCH(cov!E$1,timeseries!$C$1:$G$1,0)))</f>
        <v>#REF!</v>
      </c>
      <c r="K11" s="17" t="e">
        <f>CORREL(INDEX(timeseries!$C$21:$G$92,,MATCH(cov!#REF!,timeseries!$C$1:$G$1,0)),INDEX(timeseries!$C$21:$G$92,,MATCH(cov!F$1,timeseries!$C$1:$G$1,0)))</f>
        <v>#REF!</v>
      </c>
      <c r="L11" s="17" t="e">
        <f>CORREL(INDEX(timeseries!$C$21:$G$92,,MATCH(cov!#REF!,timeseries!$C$1:$G$1,0)),INDEX(timeseries!$C$21:$G$92,,MATCH(cov!#REF!,timeseries!$C$1:$G$1,0)))</f>
        <v>#REF!</v>
      </c>
      <c r="M11" s="17" t="e">
        <f>CORREL(INDEX(timeseries!$C$21:$G$92,,MATCH(cov!#REF!,timeseries!$C$1:$G$1,0)),INDEX(timeseries!$C$21:$G$92,,MATCH(cov!#REF!,timeseries!$C$1:$G$1,0)))</f>
        <v>#REF!</v>
      </c>
      <c r="N11" s="17" t="e">
        <f>CORREL(INDEX(timeseries!$C$21:$G$92,,MATCH(cov!#REF!,timeseries!$C$1:$G$1,0)),INDEX(timeseries!$C$21:$G$92,,MATCH(cov!#REF!,timeseries!$C$1:$G$1,0)))</f>
        <v>#REF!</v>
      </c>
      <c r="O11" s="17" t="e">
        <f>CORREL(INDEX(timeseries!$C$21:$G$92,,MATCH(cov!#REF!,timeseries!$C$1:$G$1,0)),INDEX(timeseries!$C$21:$G$92,,MATCH(cov!#REF!,timeseries!$C$1:$G$1,0)))</f>
        <v>#REF!</v>
      </c>
      <c r="P11" s="17" t="e">
        <f>CORREL(INDEX(timeseries!$C$21:$G$92,,MATCH(cov!#REF!,timeseries!$C$1:$G$1,0)),INDEX(timeseries!$C$21:$G$92,,MATCH(cov!#REF!,timeseries!$C$1:$G$1,0)))</f>
        <v>#REF!</v>
      </c>
      <c r="Q11" s="17" t="e">
        <f>CORREL(INDEX(timeseries!$C$21:$G$92,,MATCH(cov!#REF!,timeseries!$C$1:$G$1,0)),INDEX(timeseries!$C$21:$G$92,,MATCH(cov!#REF!,timeseries!$C$1:$G$1,0)))</f>
        <v>#REF!</v>
      </c>
    </row>
    <row r="12" spans="1:17" x14ac:dyDescent="0.45">
      <c r="A12" s="14" t="e">
        <f>+asset_config!#REF!</f>
        <v>#REF!</v>
      </c>
      <c r="B12" s="15" t="e">
        <f>+asset_config!#REF!</f>
        <v>#REF!</v>
      </c>
      <c r="C12" s="15" t="e">
        <f>+asset_config!#REF!</f>
        <v>#REF!</v>
      </c>
      <c r="D12" s="16" t="e">
        <f>+asset_config!#REF!</f>
        <v>#REF!</v>
      </c>
      <c r="F12" s="14" t="e">
        <f>cov!#REF!</f>
        <v>#REF!</v>
      </c>
      <c r="G12" s="17" t="e">
        <f>CORREL(INDEX(timeseries!$C$21:$G$92,,MATCH(cov!#REF!,timeseries!$C$1:$G$1,0)),INDEX(timeseries!$C$21:$G$92,,MATCH(cov!B$1,timeseries!$C$1:$G$1,0)))</f>
        <v>#REF!</v>
      </c>
      <c r="H12" s="17" t="e">
        <f>CORREL(INDEX(timeseries!$C$21:$G$92,,MATCH(cov!#REF!,timeseries!$C$1:$G$1,0)),INDEX(timeseries!$C$21:$G$92,,MATCH(cov!C$1,timeseries!$C$1:$G$1,0)))</f>
        <v>#REF!</v>
      </c>
      <c r="I12" s="17" t="e">
        <f>CORREL(INDEX(timeseries!$C$21:$G$92,,MATCH(cov!#REF!,timeseries!$C$1:$G$1,0)),INDEX(timeseries!$C$21:$G$92,,MATCH(cov!D$1,timeseries!$C$1:$G$1,0)))</f>
        <v>#REF!</v>
      </c>
      <c r="J12" s="17" t="e">
        <f>CORREL(INDEX(timeseries!$C$21:$G$92,,MATCH(cov!#REF!,timeseries!$C$1:$G$1,0)),INDEX(timeseries!$C$21:$G$92,,MATCH(cov!E$1,timeseries!$C$1:$G$1,0)))</f>
        <v>#REF!</v>
      </c>
      <c r="K12" s="17" t="e">
        <f>CORREL(INDEX(timeseries!$C$21:$G$92,,MATCH(cov!#REF!,timeseries!$C$1:$G$1,0)),INDEX(timeseries!$C$21:$G$92,,MATCH(cov!F$1,timeseries!$C$1:$G$1,0)))</f>
        <v>#REF!</v>
      </c>
      <c r="L12" s="17" t="e">
        <f>CORREL(INDEX(timeseries!$C$21:$G$92,,MATCH(cov!#REF!,timeseries!$C$1:$G$1,0)),INDEX(timeseries!$C$21:$G$92,,MATCH(cov!#REF!,timeseries!$C$1:$G$1,0)))</f>
        <v>#REF!</v>
      </c>
      <c r="M12" s="17" t="e">
        <f>CORREL(INDEX(timeseries!$C$21:$G$92,,MATCH(cov!#REF!,timeseries!$C$1:$G$1,0)),INDEX(timeseries!$C$21:$G$92,,MATCH(cov!#REF!,timeseries!$C$1:$G$1,0)))</f>
        <v>#REF!</v>
      </c>
      <c r="N12" s="17" t="e">
        <f>CORREL(INDEX(timeseries!$C$21:$G$92,,MATCH(cov!#REF!,timeseries!$C$1:$G$1,0)),INDEX(timeseries!$C$21:$G$92,,MATCH(cov!#REF!,timeseries!$C$1:$G$1,0)))</f>
        <v>#REF!</v>
      </c>
      <c r="O12" s="17" t="e">
        <f>CORREL(INDEX(timeseries!$C$21:$G$92,,MATCH(cov!#REF!,timeseries!$C$1:$G$1,0)),INDEX(timeseries!$C$21:$G$92,,MATCH(cov!#REF!,timeseries!$C$1:$G$1,0)))</f>
        <v>#REF!</v>
      </c>
      <c r="P12" s="17" t="e">
        <f>CORREL(INDEX(timeseries!$C$21:$G$92,,MATCH(cov!#REF!,timeseries!$C$1:$G$1,0)),INDEX(timeseries!$C$21:$G$92,,MATCH(cov!#REF!,timeseries!$C$1:$G$1,0)))</f>
        <v>#REF!</v>
      </c>
      <c r="Q12" s="17" t="e">
        <f>CORREL(INDEX(timeseries!$C$21:$G$92,,MATCH(cov!#REF!,timeseries!$C$1:$G$1,0)),INDEX(timeseries!$C$21:$G$92,,MATCH(cov!#REF!,timeseries!$C$1:$G$1,0)))</f>
        <v>#REF!</v>
      </c>
    </row>
  </sheetData>
  <conditionalFormatting sqref="G2:Q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D834-B601-4ABF-A912-086DF699596A}">
  <sheetPr codeName="Sheet7"/>
  <dimension ref="A1:U4780"/>
  <sheetViews>
    <sheetView workbookViewId="0">
      <selection activeCell="E13" sqref="E13"/>
    </sheetView>
  </sheetViews>
  <sheetFormatPr defaultRowHeight="15" x14ac:dyDescent="0.25"/>
  <cols>
    <col min="1" max="1" width="10.5703125" bestFit="1" customWidth="1"/>
    <col min="2" max="2" width="16.28515625" bestFit="1" customWidth="1"/>
    <col min="10" max="10" width="10.5703125" bestFit="1" customWidth="1"/>
    <col min="20" max="21" width="10.5703125" bestFit="1" customWidth="1"/>
  </cols>
  <sheetData>
    <row r="1" spans="1:21" x14ac:dyDescent="0.25">
      <c r="A1" t="s">
        <v>3</v>
      </c>
      <c r="B1" s="1">
        <v>40574</v>
      </c>
      <c r="J1" t="s">
        <v>3</v>
      </c>
      <c r="K1" s="1">
        <v>40574</v>
      </c>
      <c r="T1" t="s">
        <v>3</v>
      </c>
      <c r="U1" s="1">
        <v>40574</v>
      </c>
    </row>
    <row r="2" spans="1:21" x14ac:dyDescent="0.25">
      <c r="A2" t="s">
        <v>4</v>
      </c>
      <c r="J2" t="s">
        <v>4</v>
      </c>
      <c r="T2" t="s">
        <v>4</v>
      </c>
    </row>
    <row r="4" spans="1:21" x14ac:dyDescent="0.25"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35</v>
      </c>
      <c r="Q4" t="s">
        <v>34</v>
      </c>
      <c r="T4" t="s">
        <v>3</v>
      </c>
      <c r="U4" s="1" t="e">
        <f ca="1">J7</f>
        <v>#NAME?</v>
      </c>
    </row>
    <row r="5" spans="1:21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T5" t="s">
        <v>4</v>
      </c>
    </row>
    <row r="6" spans="1:21" x14ac:dyDescent="0.25">
      <c r="A6" t="s">
        <v>5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J6" t="s">
        <v>5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</row>
    <row r="7" spans="1:21" x14ac:dyDescent="0.25">
      <c r="A7" s="1" t="e">
        <f ca="1">_xll.BDH(B$4,B$6,$B1,$B2,"Dir=V","Per=M","Days=A","Dts=S","cols=2;rows=186")</f>
        <v>#NAME?</v>
      </c>
      <c r="B7">
        <v>139.1525</v>
      </c>
      <c r="C7" t="e">
        <f ca="1">_xll.BDH(C$4,C$6,$B1,$B2,"Dir=V","Per=M","Days=A","Dts=H","cols=1;rows=186")</f>
        <v>#NAME?</v>
      </c>
      <c r="D7" t="e">
        <f ca="1">_xll.BDH(D$4,D$6,$B1,$B2,"Dir=V","Per=M","Days=A","Dts=H","cols=1;rows=186")</f>
        <v>#NAME?</v>
      </c>
      <c r="E7" t="e">
        <f ca="1">_xll.BDH(E$4,E$6,$B1,$B2,"Dir=V","Per=M","Days=A","Dts=H","cols=1;rows=186")</f>
        <v>#NAME?</v>
      </c>
      <c r="F7" t="e">
        <f ca="1">_xll.BDH(F$4,F$6,$B1,$B2,"Dir=V","Per=M","Days=A","Dts=H","cols=1;rows=186")</f>
        <v>#NAME?</v>
      </c>
      <c r="G7" t="e">
        <f ca="1">_xll.BDH(G$4,G$6,$B1,$B2,"Dir=V","Per=M","Days=A","Dts=H","cols=1;rows=186")</f>
        <v>#NAME?</v>
      </c>
      <c r="J7" s="1" t="e">
        <f ca="1">_xll.BDH(K$4,K$6,$B1,$B2,"Dir=V","Per=M","Days=A","Dts=S","cols=2;rows=186")</f>
        <v>#NAME?</v>
      </c>
      <c r="K7">
        <v>95.290999999999997</v>
      </c>
      <c r="L7" t="e">
        <f ca="1">_xll.BDH(L$4,L$6,$B1,$B2,"Dir=V","Per=M","Days=A","Dts=H","cols=1;rows=186")</f>
        <v>#NAME?</v>
      </c>
      <c r="M7" t="e">
        <f ca="1">_xll.BDH(M$4,M$6,$B1,$B2,"Dir=V","Per=M","Days=A","Dts=H","cols=1;rows=186")</f>
        <v>#NAME?</v>
      </c>
      <c r="N7" t="e">
        <f ca="1">_xll.BDH(N$4,N$6,$B1,$B2,"Dir=V","Per=M","Days=A","Dts=H","cols=1;rows=186")</f>
        <v>#NAME?</v>
      </c>
      <c r="O7" t="e">
        <f ca="1">_xll.BDH(O$4,O$6,$B1,$B2,"Dir=V","Per=M","Days=A","Dts=H","cols=1;rows=186")</f>
        <v>#NAME?</v>
      </c>
      <c r="P7" t="e">
        <f ca="1">_xll.BDH(P$4,P$6,$B1,$B2,"Dir=V","Per=M","Days=A","Dts=H","cols=1;rows=186")</f>
        <v>#NAME?</v>
      </c>
      <c r="Q7" t="e">
        <f ca="1">_xll.BDH(Q$4,Q$6,$B1,$B2,"Dir=V","Per=M","Days=A","Dts=H","cols=1;rows=186")</f>
        <v>#NAME?</v>
      </c>
      <c r="R7" t="e">
        <f ca="1">E7*Q7</f>
        <v>#NAME?</v>
      </c>
      <c r="U7" t="s">
        <v>36</v>
      </c>
    </row>
    <row r="8" spans="1:21" x14ac:dyDescent="0.25">
      <c r="A8" s="1">
        <v>40602</v>
      </c>
      <c r="B8">
        <v>143.2054</v>
      </c>
      <c r="C8">
        <v>396.7396</v>
      </c>
      <c r="D8">
        <v>287.19839999999999</v>
      </c>
      <c r="E8">
        <v>0.86</v>
      </c>
      <c r="F8">
        <v>1411.33</v>
      </c>
      <c r="G8">
        <v>687.60900000000004</v>
      </c>
      <c r="J8" s="1">
        <v>40602</v>
      </c>
      <c r="K8">
        <v>97.341999999999999</v>
      </c>
      <c r="L8">
        <v>174.66630000000001</v>
      </c>
      <c r="M8">
        <v>261.84829999999999</v>
      </c>
      <c r="N8" t="s">
        <v>18</v>
      </c>
      <c r="O8">
        <v>1022</v>
      </c>
      <c r="P8">
        <v>139.68600000000001</v>
      </c>
      <c r="Q8">
        <v>0.72430000000000005</v>
      </c>
      <c r="R8">
        <f t="shared" ref="R8:R71" si="0">E8*Q8</f>
        <v>0.62289800000000006</v>
      </c>
      <c r="U8" t="e">
        <f ca="1">_xll.BFieldInfo(U$9)</f>
        <v>#NAME?</v>
      </c>
    </row>
    <row r="9" spans="1:21" x14ac:dyDescent="0.25">
      <c r="A9" s="1">
        <v>40633</v>
      </c>
      <c r="B9">
        <v>143.0617</v>
      </c>
      <c r="C9">
        <v>396.43889999999999</v>
      </c>
      <c r="D9">
        <v>288.58859999999999</v>
      </c>
      <c r="E9">
        <v>0.78</v>
      </c>
      <c r="F9">
        <v>1432.2</v>
      </c>
      <c r="G9">
        <v>687.78800000000001</v>
      </c>
      <c r="J9" s="1">
        <v>40633</v>
      </c>
      <c r="K9">
        <v>94.647000000000006</v>
      </c>
      <c r="L9">
        <v>174.6191</v>
      </c>
      <c r="M9">
        <v>263.2285</v>
      </c>
      <c r="N9" t="s">
        <v>18</v>
      </c>
      <c r="O9">
        <v>1011.68</v>
      </c>
      <c r="P9">
        <v>139.733</v>
      </c>
      <c r="Q9">
        <v>0.70640000000000003</v>
      </c>
      <c r="R9">
        <f t="shared" si="0"/>
        <v>0.55099200000000004</v>
      </c>
      <c r="T9" t="s">
        <v>5</v>
      </c>
      <c r="U9" t="s">
        <v>6</v>
      </c>
    </row>
    <row r="10" spans="1:21" x14ac:dyDescent="0.25">
      <c r="A10" s="1">
        <v>40662</v>
      </c>
      <c r="B10">
        <v>148.91460000000001</v>
      </c>
      <c r="C10">
        <v>400.03320000000002</v>
      </c>
      <c r="D10">
        <v>293.12279999999998</v>
      </c>
      <c r="E10">
        <v>2.88</v>
      </c>
      <c r="F10">
        <v>1563.7</v>
      </c>
      <c r="G10">
        <v>687.92600000000004</v>
      </c>
      <c r="J10" s="1">
        <v>40662</v>
      </c>
      <c r="K10">
        <v>94.236000000000004</v>
      </c>
      <c r="L10">
        <v>176.24449999999999</v>
      </c>
      <c r="M10">
        <v>267.3938</v>
      </c>
      <c r="N10" t="s">
        <v>18</v>
      </c>
      <c r="O10">
        <v>1056.0899999999999</v>
      </c>
      <c r="P10">
        <v>139.803</v>
      </c>
      <c r="Q10">
        <v>0.67530000000000001</v>
      </c>
      <c r="R10">
        <f t="shared" si="0"/>
        <v>1.9448639999999999</v>
      </c>
      <c r="T10" s="1" t="e">
        <f ca="1">_xll.BDH(U$7,U$9,$U4,$U5,"Dir=V","FX=EUR","Dts=S","Per=M","cols=2;rows=186")</f>
        <v>#NAME?</v>
      </c>
      <c r="U10">
        <v>0.52</v>
      </c>
    </row>
    <row r="11" spans="1:21" x14ac:dyDescent="0.25">
      <c r="A11" s="1">
        <v>40694</v>
      </c>
      <c r="B11">
        <v>145.71440000000001</v>
      </c>
      <c r="C11">
        <v>403.91730000000001</v>
      </c>
      <c r="D11">
        <v>294.55680000000001</v>
      </c>
      <c r="E11">
        <v>8.74</v>
      </c>
      <c r="F11">
        <v>1535.73</v>
      </c>
      <c r="G11">
        <v>687.97400000000005</v>
      </c>
      <c r="J11" s="1">
        <v>40694</v>
      </c>
      <c r="K11">
        <v>95.161000000000001</v>
      </c>
      <c r="L11">
        <v>178.149</v>
      </c>
      <c r="M11">
        <v>268.92430000000002</v>
      </c>
      <c r="N11" t="s">
        <v>18</v>
      </c>
      <c r="O11">
        <v>1066.8</v>
      </c>
      <c r="P11">
        <v>139.946</v>
      </c>
      <c r="Q11">
        <v>0.6946</v>
      </c>
      <c r="R11">
        <f t="shared" si="0"/>
        <v>6.0708039999999999</v>
      </c>
      <c r="T11" s="1">
        <v>40602</v>
      </c>
      <c r="U11">
        <v>0.86</v>
      </c>
    </row>
    <row r="12" spans="1:21" x14ac:dyDescent="0.25">
      <c r="A12" s="1">
        <v>40724</v>
      </c>
      <c r="B12">
        <v>143.41820000000001</v>
      </c>
      <c r="C12">
        <v>403.11520000000002</v>
      </c>
      <c r="D12">
        <v>292.34870000000001</v>
      </c>
      <c r="E12">
        <v>16.100000000000001</v>
      </c>
      <c r="F12">
        <v>1500.18</v>
      </c>
      <c r="G12">
        <v>688.03599999999994</v>
      </c>
      <c r="J12" s="1">
        <v>40724</v>
      </c>
      <c r="K12">
        <v>92.87</v>
      </c>
      <c r="L12">
        <v>177.93639999999999</v>
      </c>
      <c r="M12">
        <v>267.14150000000001</v>
      </c>
      <c r="N12" t="s">
        <v>18</v>
      </c>
      <c r="O12">
        <v>1034.55</v>
      </c>
      <c r="P12">
        <v>140.035</v>
      </c>
      <c r="Q12">
        <v>0.68959999999999999</v>
      </c>
      <c r="R12">
        <f t="shared" si="0"/>
        <v>11.10256</v>
      </c>
      <c r="T12" s="1">
        <v>40633</v>
      </c>
      <c r="U12">
        <v>0.78</v>
      </c>
    </row>
    <row r="13" spans="1:21" x14ac:dyDescent="0.25">
      <c r="A13" s="1">
        <v>40753</v>
      </c>
      <c r="B13">
        <v>141.08340000000001</v>
      </c>
      <c r="C13">
        <v>407.64589999999998</v>
      </c>
      <c r="D13">
        <v>295.32639999999998</v>
      </c>
      <c r="E13">
        <v>13.5</v>
      </c>
      <c r="F13">
        <v>1627.05</v>
      </c>
      <c r="G13">
        <v>687.99</v>
      </c>
      <c r="J13" s="1">
        <v>40753</v>
      </c>
      <c r="K13">
        <v>92.174999999999997</v>
      </c>
      <c r="L13">
        <v>180.107</v>
      </c>
      <c r="M13">
        <v>270.11160000000001</v>
      </c>
      <c r="N13" t="s">
        <v>18</v>
      </c>
      <c r="O13">
        <v>1130.3499999999999</v>
      </c>
      <c r="P13">
        <v>140.34299999999999</v>
      </c>
      <c r="Q13">
        <v>0.69450000000000001</v>
      </c>
      <c r="R13">
        <f t="shared" si="0"/>
        <v>9.37575</v>
      </c>
      <c r="T13" s="1">
        <v>40663</v>
      </c>
      <c r="U13">
        <v>2.88</v>
      </c>
    </row>
    <row r="14" spans="1:21" x14ac:dyDescent="0.25">
      <c r="A14" s="1">
        <v>40786</v>
      </c>
      <c r="B14">
        <v>130.77719999999999</v>
      </c>
      <c r="C14">
        <v>412.62099999999998</v>
      </c>
      <c r="D14">
        <v>283.83929999999998</v>
      </c>
      <c r="E14">
        <v>8.1999999999999993</v>
      </c>
      <c r="F14">
        <v>1825.55</v>
      </c>
      <c r="G14">
        <v>688.14499999999998</v>
      </c>
      <c r="J14" s="1">
        <v>40786</v>
      </c>
      <c r="K14">
        <v>85.275999999999996</v>
      </c>
      <c r="L14">
        <v>182.42230000000001</v>
      </c>
      <c r="M14">
        <v>259.81020000000001</v>
      </c>
      <c r="N14" t="s">
        <v>18</v>
      </c>
      <c r="O14">
        <v>1270.4000000000001</v>
      </c>
      <c r="P14">
        <v>140.65199999999999</v>
      </c>
      <c r="Q14">
        <v>0.69569999999999999</v>
      </c>
      <c r="R14">
        <f t="shared" si="0"/>
        <v>5.7047399999999993</v>
      </c>
      <c r="T14" s="1">
        <v>40694</v>
      </c>
      <c r="U14">
        <v>8.74</v>
      </c>
    </row>
    <row r="15" spans="1:21" x14ac:dyDescent="0.25">
      <c r="A15" s="1">
        <v>40816</v>
      </c>
      <c r="B15">
        <v>118.43</v>
      </c>
      <c r="C15">
        <v>415.0849</v>
      </c>
      <c r="D15">
        <v>272.8415</v>
      </c>
      <c r="E15">
        <v>5.14</v>
      </c>
      <c r="F15">
        <v>1623.79</v>
      </c>
      <c r="G15">
        <v>688.15800000000002</v>
      </c>
      <c r="J15" s="1">
        <v>40816</v>
      </c>
      <c r="K15">
        <v>82.870999999999995</v>
      </c>
      <c r="L15">
        <v>183.6413</v>
      </c>
      <c r="M15">
        <v>248.99</v>
      </c>
      <c r="N15" t="s">
        <v>18</v>
      </c>
      <c r="O15">
        <v>1212.92</v>
      </c>
      <c r="P15">
        <v>140.86099999999999</v>
      </c>
      <c r="Q15">
        <v>0.74680000000000002</v>
      </c>
      <c r="R15">
        <f t="shared" si="0"/>
        <v>3.838552</v>
      </c>
      <c r="T15" s="1">
        <v>40724</v>
      </c>
      <c r="U15">
        <v>16.100000000000001</v>
      </c>
    </row>
    <row r="16" spans="1:21" x14ac:dyDescent="0.25">
      <c r="A16" s="1">
        <v>40847</v>
      </c>
      <c r="B16">
        <v>131.11949999999999</v>
      </c>
      <c r="C16">
        <v>414.6773</v>
      </c>
      <c r="D16">
        <v>289.41379999999998</v>
      </c>
      <c r="E16">
        <v>3.25</v>
      </c>
      <c r="F16">
        <v>1714.7</v>
      </c>
      <c r="G16">
        <v>688.17200000000003</v>
      </c>
      <c r="J16" s="1">
        <v>40847</v>
      </c>
      <c r="K16">
        <v>88.257000000000005</v>
      </c>
      <c r="L16">
        <v>183.5222</v>
      </c>
      <c r="M16">
        <v>263.67160000000001</v>
      </c>
      <c r="N16" t="s">
        <v>18</v>
      </c>
      <c r="O16">
        <v>1237.3499999999999</v>
      </c>
      <c r="P16">
        <v>140.899</v>
      </c>
      <c r="Q16">
        <v>0.72160000000000002</v>
      </c>
      <c r="R16">
        <f t="shared" si="0"/>
        <v>2.3452000000000002</v>
      </c>
      <c r="T16" s="1">
        <v>40755</v>
      </c>
      <c r="U16">
        <v>13.5</v>
      </c>
    </row>
    <row r="17" spans="1:21" x14ac:dyDescent="0.25">
      <c r="A17" s="1">
        <v>40877</v>
      </c>
      <c r="B17">
        <v>127.19370000000001</v>
      </c>
      <c r="C17">
        <v>412.42689999999999</v>
      </c>
      <c r="D17">
        <v>282.0403</v>
      </c>
      <c r="E17">
        <v>2.97</v>
      </c>
      <c r="F17">
        <v>1746.35</v>
      </c>
      <c r="G17">
        <v>688.16499999999996</v>
      </c>
      <c r="J17" s="1">
        <v>40877</v>
      </c>
      <c r="K17">
        <v>88.709000000000003</v>
      </c>
      <c r="L17">
        <v>182.5352</v>
      </c>
      <c r="M17">
        <v>256.72649999999999</v>
      </c>
      <c r="N17" t="s">
        <v>18</v>
      </c>
      <c r="O17">
        <v>1298.79</v>
      </c>
      <c r="P17">
        <v>141.048</v>
      </c>
      <c r="Q17">
        <v>0.74380000000000002</v>
      </c>
      <c r="R17">
        <f t="shared" si="0"/>
        <v>2.2090860000000001</v>
      </c>
      <c r="T17" s="1">
        <v>40786</v>
      </c>
      <c r="U17">
        <v>8.1999999999999993</v>
      </c>
    </row>
    <row r="18" spans="1:21" x14ac:dyDescent="0.25">
      <c r="A18" s="1">
        <v>40907</v>
      </c>
      <c r="B18">
        <v>126.9371</v>
      </c>
      <c r="C18">
        <v>418.69979999999998</v>
      </c>
      <c r="D18">
        <v>289.11680000000001</v>
      </c>
      <c r="E18">
        <v>4.25</v>
      </c>
      <c r="F18">
        <v>1564.91</v>
      </c>
      <c r="G18">
        <v>688.15899999999999</v>
      </c>
      <c r="J18" s="1">
        <v>40907</v>
      </c>
      <c r="K18">
        <v>91.804000000000002</v>
      </c>
      <c r="L18">
        <v>185.33949999999999</v>
      </c>
      <c r="M18">
        <v>263.2484</v>
      </c>
      <c r="N18" t="s">
        <v>18</v>
      </c>
      <c r="O18">
        <v>1206.81</v>
      </c>
      <c r="P18">
        <v>141.09700000000001</v>
      </c>
      <c r="Q18">
        <v>0.77139999999999997</v>
      </c>
      <c r="R18">
        <f t="shared" si="0"/>
        <v>3.2784499999999999</v>
      </c>
      <c r="T18" s="1">
        <v>40816</v>
      </c>
      <c r="U18">
        <v>5.14</v>
      </c>
    </row>
    <row r="19" spans="1:21" x14ac:dyDescent="0.25">
      <c r="A19" s="1">
        <v>40939</v>
      </c>
      <c r="B19">
        <v>134.3176</v>
      </c>
      <c r="C19">
        <v>422.83710000000002</v>
      </c>
      <c r="D19">
        <v>299.44760000000002</v>
      </c>
      <c r="E19">
        <v>5.48</v>
      </c>
      <c r="F19">
        <v>1737.76</v>
      </c>
      <c r="G19">
        <v>688.14400000000001</v>
      </c>
      <c r="J19" s="1">
        <v>40939</v>
      </c>
      <c r="K19">
        <v>96.332999999999998</v>
      </c>
      <c r="L19">
        <v>187.11949999999999</v>
      </c>
      <c r="M19">
        <v>272.53910000000002</v>
      </c>
      <c r="N19" t="s">
        <v>18</v>
      </c>
      <c r="O19">
        <v>1328.31</v>
      </c>
      <c r="P19">
        <v>141.065</v>
      </c>
      <c r="Q19">
        <v>0.76429999999999998</v>
      </c>
      <c r="R19">
        <f t="shared" si="0"/>
        <v>4.188364</v>
      </c>
      <c r="T19" s="1">
        <v>40847</v>
      </c>
      <c r="U19">
        <v>3.25</v>
      </c>
    </row>
    <row r="20" spans="1:21" x14ac:dyDescent="0.25">
      <c r="A20" s="1">
        <v>40968</v>
      </c>
      <c r="B20">
        <v>141.07570000000001</v>
      </c>
      <c r="C20">
        <v>424.3657</v>
      </c>
      <c r="D20">
        <v>308.53649999999999</v>
      </c>
      <c r="E20">
        <v>4.8600000000000003</v>
      </c>
      <c r="F20">
        <v>1696.76</v>
      </c>
      <c r="G20">
        <v>688.15800000000002</v>
      </c>
      <c r="J20" s="1">
        <v>40968</v>
      </c>
      <c r="K20">
        <v>99.012</v>
      </c>
      <c r="L20">
        <v>187.77670000000001</v>
      </c>
      <c r="M20">
        <v>280.65719999999999</v>
      </c>
      <c r="N20" t="s">
        <v>18</v>
      </c>
      <c r="O20">
        <v>1273.51</v>
      </c>
      <c r="P20">
        <v>141.11199999999999</v>
      </c>
      <c r="Q20">
        <v>0.75049999999999994</v>
      </c>
      <c r="R20">
        <f t="shared" si="0"/>
        <v>3.6474299999999999</v>
      </c>
      <c r="T20" s="1">
        <v>40877</v>
      </c>
      <c r="U20">
        <v>2.97</v>
      </c>
    </row>
    <row r="21" spans="1:21" x14ac:dyDescent="0.25">
      <c r="A21" s="1">
        <v>40998</v>
      </c>
      <c r="B21">
        <v>142.01259999999999</v>
      </c>
      <c r="C21">
        <v>423.7516</v>
      </c>
      <c r="D21">
        <v>308.99020000000002</v>
      </c>
      <c r="E21">
        <v>4.8600000000000003</v>
      </c>
      <c r="F21">
        <v>1668.15</v>
      </c>
      <c r="G21">
        <v>688.23500000000001</v>
      </c>
      <c r="J21" s="1">
        <v>40998</v>
      </c>
      <c r="K21">
        <v>100.119</v>
      </c>
      <c r="L21">
        <v>187.48050000000001</v>
      </c>
      <c r="M21">
        <v>281.03100000000001</v>
      </c>
      <c r="N21" t="s">
        <v>18</v>
      </c>
      <c r="O21">
        <v>1250.3499999999999</v>
      </c>
      <c r="P21">
        <v>141.11600000000001</v>
      </c>
      <c r="Q21">
        <v>0.74950000000000006</v>
      </c>
      <c r="R21">
        <f t="shared" si="0"/>
        <v>3.6425700000000005</v>
      </c>
      <c r="T21" s="1">
        <v>40908</v>
      </c>
      <c r="U21">
        <v>4.25</v>
      </c>
    </row>
    <row r="22" spans="1:21" x14ac:dyDescent="0.25">
      <c r="A22" s="1">
        <v>41029</v>
      </c>
      <c r="B22">
        <v>140.38900000000001</v>
      </c>
      <c r="C22">
        <v>426.39249999999998</v>
      </c>
      <c r="D22">
        <v>311.70740000000001</v>
      </c>
      <c r="E22">
        <v>4.95</v>
      </c>
      <c r="F22">
        <v>1664.75</v>
      </c>
      <c r="G22">
        <v>688.26099999999997</v>
      </c>
      <c r="J22" s="1">
        <v>41029</v>
      </c>
      <c r="K22">
        <v>99.584000000000003</v>
      </c>
      <c r="L22">
        <v>188.62860000000001</v>
      </c>
      <c r="M22">
        <v>283.46870000000001</v>
      </c>
      <c r="N22" t="s">
        <v>18</v>
      </c>
      <c r="O22">
        <v>1257.49</v>
      </c>
      <c r="P22">
        <v>141.15100000000001</v>
      </c>
      <c r="Q22">
        <v>0.75539999999999996</v>
      </c>
      <c r="R22">
        <f t="shared" si="0"/>
        <v>3.7392300000000001</v>
      </c>
      <c r="T22" s="1">
        <v>40939</v>
      </c>
      <c r="U22">
        <v>5.48</v>
      </c>
    </row>
    <row r="23" spans="1:21" x14ac:dyDescent="0.25">
      <c r="A23" s="1">
        <v>41060</v>
      </c>
      <c r="B23">
        <v>127.8017</v>
      </c>
      <c r="C23">
        <v>430.83109999999999</v>
      </c>
      <c r="D23">
        <v>305.46089999999998</v>
      </c>
      <c r="E23">
        <v>5.18</v>
      </c>
      <c r="F23">
        <v>1560.51</v>
      </c>
      <c r="G23">
        <v>688.351</v>
      </c>
      <c r="J23" s="1">
        <v>41060</v>
      </c>
      <c r="K23">
        <v>97.040999999999997</v>
      </c>
      <c r="L23">
        <v>190.6901</v>
      </c>
      <c r="M23">
        <v>277.24689999999998</v>
      </c>
      <c r="N23" t="s">
        <v>18</v>
      </c>
      <c r="O23">
        <v>1262.1500000000001</v>
      </c>
      <c r="P23">
        <v>141.18</v>
      </c>
      <c r="Q23">
        <v>0.80869999999999997</v>
      </c>
      <c r="R23">
        <f t="shared" si="0"/>
        <v>4.1890659999999995</v>
      </c>
      <c r="T23" s="1">
        <v>40968</v>
      </c>
      <c r="U23">
        <v>4.8600000000000003</v>
      </c>
    </row>
    <row r="24" spans="1:21" x14ac:dyDescent="0.25">
      <c r="A24" s="1">
        <v>41089</v>
      </c>
      <c r="B24">
        <v>134.114</v>
      </c>
      <c r="C24">
        <v>430.12450000000001</v>
      </c>
      <c r="D24">
        <v>312.54590000000002</v>
      </c>
      <c r="E24">
        <v>6.65</v>
      </c>
      <c r="F24">
        <v>1597.45</v>
      </c>
      <c r="G24">
        <v>688.41399999999999</v>
      </c>
      <c r="J24" s="1">
        <v>41089</v>
      </c>
      <c r="K24">
        <v>99.218000000000004</v>
      </c>
      <c r="L24">
        <v>190.3665</v>
      </c>
      <c r="M24">
        <v>283.5197</v>
      </c>
      <c r="N24" t="s">
        <v>18</v>
      </c>
      <c r="O24">
        <v>1261.52</v>
      </c>
      <c r="P24">
        <v>141.18199999999999</v>
      </c>
      <c r="Q24">
        <v>0.78990000000000005</v>
      </c>
      <c r="R24">
        <f t="shared" si="0"/>
        <v>5.252835000000001</v>
      </c>
      <c r="T24" s="1">
        <v>40999</v>
      </c>
      <c r="U24">
        <v>4.8600000000000003</v>
      </c>
    </row>
    <row r="25" spans="1:21" x14ac:dyDescent="0.25">
      <c r="A25" s="1">
        <v>41121</v>
      </c>
      <c r="B25">
        <v>135.94970000000001</v>
      </c>
      <c r="C25">
        <v>435.95339999999999</v>
      </c>
      <c r="D25">
        <v>319.67250000000001</v>
      </c>
      <c r="E25">
        <v>9.35</v>
      </c>
      <c r="F25">
        <v>1614.58</v>
      </c>
      <c r="G25">
        <v>688.47400000000005</v>
      </c>
      <c r="J25" s="1">
        <v>41121</v>
      </c>
      <c r="K25">
        <v>103.639</v>
      </c>
      <c r="L25">
        <v>192.9683</v>
      </c>
      <c r="M25">
        <v>290.05680000000001</v>
      </c>
      <c r="N25" t="s">
        <v>18</v>
      </c>
      <c r="O25">
        <v>1312.28</v>
      </c>
      <c r="P25">
        <v>141.21</v>
      </c>
      <c r="Q25">
        <v>0.81279999999999997</v>
      </c>
      <c r="R25">
        <f t="shared" si="0"/>
        <v>7.5996799999999993</v>
      </c>
      <c r="T25" s="1">
        <v>41029</v>
      </c>
      <c r="U25">
        <v>4.95</v>
      </c>
    </row>
    <row r="26" spans="1:21" x14ac:dyDescent="0.25">
      <c r="A26" s="1">
        <v>41152</v>
      </c>
      <c r="B26">
        <v>138.90620000000001</v>
      </c>
      <c r="C26">
        <v>436.9889</v>
      </c>
      <c r="D26">
        <v>325.16410000000002</v>
      </c>
      <c r="E26">
        <v>10.16</v>
      </c>
      <c r="F26">
        <v>1691.85</v>
      </c>
      <c r="G26">
        <v>688.56399999999996</v>
      </c>
      <c r="J26" s="1">
        <v>41152</v>
      </c>
      <c r="K26">
        <v>103.461</v>
      </c>
      <c r="L26">
        <v>193.3511</v>
      </c>
      <c r="M26">
        <v>294.8528</v>
      </c>
      <c r="N26" t="s">
        <v>18</v>
      </c>
      <c r="O26">
        <v>1345.51</v>
      </c>
      <c r="P26">
        <v>141.214</v>
      </c>
      <c r="Q26">
        <v>0.79520000000000002</v>
      </c>
      <c r="R26">
        <f t="shared" si="0"/>
        <v>8.0792320000000011</v>
      </c>
      <c r="T26" s="1">
        <v>41060</v>
      </c>
      <c r="U26">
        <v>5.18</v>
      </c>
    </row>
    <row r="27" spans="1:21" x14ac:dyDescent="0.25">
      <c r="A27" s="1">
        <v>41180</v>
      </c>
      <c r="B27">
        <v>143.28139999999999</v>
      </c>
      <c r="C27">
        <v>438.72120000000001</v>
      </c>
      <c r="D27">
        <v>330.96559999999999</v>
      </c>
      <c r="E27">
        <v>12.39</v>
      </c>
      <c r="F27">
        <v>1772.25</v>
      </c>
      <c r="G27">
        <v>688.64800000000002</v>
      </c>
      <c r="J27" s="1">
        <v>41180</v>
      </c>
      <c r="K27">
        <v>104.563</v>
      </c>
      <c r="L27">
        <v>194.04949999999999</v>
      </c>
      <c r="M27">
        <v>299.94670000000002</v>
      </c>
      <c r="N27" t="s">
        <v>18</v>
      </c>
      <c r="O27">
        <v>1378.15</v>
      </c>
      <c r="P27">
        <v>141.21299999999999</v>
      </c>
      <c r="Q27">
        <v>0.77769999999999995</v>
      </c>
      <c r="R27">
        <f t="shared" si="0"/>
        <v>9.6357029999999995</v>
      </c>
      <c r="T27" s="1">
        <v>41090</v>
      </c>
      <c r="U27">
        <v>6.65</v>
      </c>
    </row>
    <row r="28" spans="1:21" x14ac:dyDescent="0.25">
      <c r="A28" s="1">
        <v>41213</v>
      </c>
      <c r="B28">
        <v>142.32570000000001</v>
      </c>
      <c r="C28">
        <v>439.95940000000002</v>
      </c>
      <c r="D28">
        <v>334.7371</v>
      </c>
      <c r="E28">
        <v>11.2</v>
      </c>
      <c r="F28">
        <v>1720.65</v>
      </c>
      <c r="G28">
        <v>688.70699999999999</v>
      </c>
      <c r="J28" s="1">
        <v>41213</v>
      </c>
      <c r="K28">
        <v>103.12</v>
      </c>
      <c r="L28">
        <v>194.53630000000001</v>
      </c>
      <c r="M28">
        <v>303.25940000000003</v>
      </c>
      <c r="N28" t="s">
        <v>18</v>
      </c>
      <c r="O28">
        <v>1327.72</v>
      </c>
      <c r="P28">
        <v>141.209</v>
      </c>
      <c r="Q28">
        <v>0.77190000000000003</v>
      </c>
      <c r="R28">
        <f t="shared" si="0"/>
        <v>8.6452799999999996</v>
      </c>
      <c r="T28" s="1">
        <v>41121</v>
      </c>
      <c r="U28">
        <v>9.35</v>
      </c>
    </row>
    <row r="29" spans="1:21" x14ac:dyDescent="0.25">
      <c r="A29" s="1">
        <v>41243</v>
      </c>
      <c r="B29">
        <v>144.14599999999999</v>
      </c>
      <c r="C29">
        <v>442.17739999999998</v>
      </c>
      <c r="D29">
        <v>338.73840000000001</v>
      </c>
      <c r="E29">
        <v>12.57</v>
      </c>
      <c r="F29">
        <v>1714.98</v>
      </c>
      <c r="G29">
        <v>688.81700000000001</v>
      </c>
      <c r="J29" s="1">
        <v>41243</v>
      </c>
      <c r="K29">
        <v>104.053</v>
      </c>
      <c r="L29">
        <v>195.4615</v>
      </c>
      <c r="M29">
        <v>306.79259999999999</v>
      </c>
      <c r="N29" t="s">
        <v>18</v>
      </c>
      <c r="O29">
        <v>1320.44</v>
      </c>
      <c r="P29">
        <v>141.22999999999999</v>
      </c>
      <c r="Q29">
        <v>0.76990000000000003</v>
      </c>
      <c r="R29">
        <f t="shared" si="0"/>
        <v>9.6776429999999998</v>
      </c>
      <c r="T29" s="1">
        <v>41152</v>
      </c>
      <c r="U29">
        <v>10.16</v>
      </c>
    </row>
    <row r="30" spans="1:21" x14ac:dyDescent="0.25">
      <c r="A30" s="1">
        <v>41274</v>
      </c>
      <c r="B30">
        <v>147.4111</v>
      </c>
      <c r="C30">
        <v>442.6318</v>
      </c>
      <c r="D30">
        <v>344.75959999999998</v>
      </c>
      <c r="E30">
        <v>13.51</v>
      </c>
      <c r="F30">
        <v>1675.35</v>
      </c>
      <c r="G30">
        <v>688.923</v>
      </c>
      <c r="J30" s="1">
        <v>41274</v>
      </c>
      <c r="K30">
        <v>104.973</v>
      </c>
      <c r="L30">
        <v>195.59630000000001</v>
      </c>
      <c r="M30">
        <v>312.08730000000003</v>
      </c>
      <c r="N30" t="s">
        <v>18</v>
      </c>
      <c r="O30">
        <v>1269.76</v>
      </c>
      <c r="P30">
        <v>141.24</v>
      </c>
      <c r="Q30">
        <v>0.75800000000000001</v>
      </c>
      <c r="R30">
        <f t="shared" si="0"/>
        <v>10.24058</v>
      </c>
      <c r="T30" s="1">
        <v>41182</v>
      </c>
      <c r="U30">
        <v>12.39</v>
      </c>
    </row>
    <row r="31" spans="1:21" x14ac:dyDescent="0.25">
      <c r="A31" s="1">
        <v>41305</v>
      </c>
      <c r="B31">
        <v>154.20189999999999</v>
      </c>
      <c r="C31">
        <v>440.20499999999998</v>
      </c>
      <c r="D31">
        <v>348.35169999999999</v>
      </c>
      <c r="E31">
        <v>20.41</v>
      </c>
      <c r="F31">
        <v>1663.7</v>
      </c>
      <c r="G31">
        <v>688.92399999999998</v>
      </c>
      <c r="J31" s="1">
        <v>41305</v>
      </c>
      <c r="K31">
        <v>106.654</v>
      </c>
      <c r="L31">
        <v>194.50720000000001</v>
      </c>
      <c r="M31">
        <v>315.20530000000002</v>
      </c>
      <c r="N31" t="s">
        <v>18</v>
      </c>
      <c r="O31">
        <v>1225.22</v>
      </c>
      <c r="P31">
        <v>141.21100000000001</v>
      </c>
      <c r="Q31">
        <v>0.73650000000000004</v>
      </c>
      <c r="R31">
        <f t="shared" si="0"/>
        <v>15.031965000000001</v>
      </c>
      <c r="T31" s="1">
        <v>41213</v>
      </c>
      <c r="U31">
        <v>11.2</v>
      </c>
    </row>
    <row r="32" spans="1:21" x14ac:dyDescent="0.25">
      <c r="A32" s="1">
        <v>41333</v>
      </c>
      <c r="B32">
        <v>154.17760000000001</v>
      </c>
      <c r="C32">
        <v>442.87419999999997</v>
      </c>
      <c r="D32">
        <v>349.75409999999999</v>
      </c>
      <c r="E32">
        <v>33.380000000000003</v>
      </c>
      <c r="F32">
        <v>1579.61</v>
      </c>
      <c r="G32">
        <v>688.92399999999998</v>
      </c>
      <c r="J32" s="1">
        <v>41333</v>
      </c>
      <c r="K32">
        <v>110.72</v>
      </c>
      <c r="L32">
        <v>195.6909</v>
      </c>
      <c r="M32">
        <v>316.41719999999998</v>
      </c>
      <c r="N32" t="s">
        <v>18</v>
      </c>
      <c r="O32">
        <v>1209.8399999999999</v>
      </c>
      <c r="P32">
        <v>141.25800000000001</v>
      </c>
      <c r="Q32">
        <v>0.76570000000000005</v>
      </c>
      <c r="R32">
        <f t="shared" si="0"/>
        <v>25.559066000000005</v>
      </c>
      <c r="T32" s="1">
        <v>41243</v>
      </c>
      <c r="U32">
        <v>12.57</v>
      </c>
    </row>
    <row r="33" spans="1:21" x14ac:dyDescent="0.25">
      <c r="A33" s="1">
        <v>41362</v>
      </c>
      <c r="B33">
        <v>156.9965</v>
      </c>
      <c r="C33">
        <v>445.16309999999999</v>
      </c>
      <c r="D33">
        <v>351.83049999999997</v>
      </c>
      <c r="E33">
        <v>90.5</v>
      </c>
      <c r="F33">
        <v>1597.5</v>
      </c>
      <c r="G33">
        <v>689.03399999999999</v>
      </c>
      <c r="J33" s="1">
        <v>41362</v>
      </c>
      <c r="K33">
        <v>114.786</v>
      </c>
      <c r="L33">
        <v>196.67269999999999</v>
      </c>
      <c r="M33">
        <v>318.23480000000001</v>
      </c>
      <c r="N33" t="s">
        <v>18</v>
      </c>
      <c r="O33">
        <v>1246.79</v>
      </c>
      <c r="P33">
        <v>141.26499999999999</v>
      </c>
      <c r="Q33">
        <v>0.7802</v>
      </c>
      <c r="R33">
        <f t="shared" si="0"/>
        <v>70.608100000000007</v>
      </c>
      <c r="T33" s="1">
        <v>41274</v>
      </c>
      <c r="U33">
        <v>13.51</v>
      </c>
    </row>
    <row r="34" spans="1:21" x14ac:dyDescent="0.25">
      <c r="A34" s="1">
        <v>41394</v>
      </c>
      <c r="B34">
        <v>161.48159999999999</v>
      </c>
      <c r="C34">
        <v>450.048</v>
      </c>
      <c r="D34">
        <v>358.84640000000002</v>
      </c>
      <c r="E34">
        <v>133.75</v>
      </c>
      <c r="F34">
        <v>1476.71</v>
      </c>
      <c r="G34">
        <v>689.10699999999997</v>
      </c>
      <c r="J34" s="1">
        <v>41394</v>
      </c>
      <c r="K34">
        <v>114.99299999999999</v>
      </c>
      <c r="L34">
        <v>198.74080000000001</v>
      </c>
      <c r="M34">
        <v>324.38260000000002</v>
      </c>
      <c r="N34" t="s">
        <v>18</v>
      </c>
      <c r="O34">
        <v>1121.44</v>
      </c>
      <c r="P34">
        <v>141.27699999999999</v>
      </c>
      <c r="Q34">
        <v>0.75939999999999996</v>
      </c>
      <c r="R34">
        <f t="shared" si="0"/>
        <v>101.56975</v>
      </c>
      <c r="T34" s="1">
        <v>41305</v>
      </c>
      <c r="U34">
        <v>20.41</v>
      </c>
    </row>
    <row r="35" spans="1:21" x14ac:dyDescent="0.25">
      <c r="A35" s="1">
        <v>41425</v>
      </c>
      <c r="B35">
        <v>161.0393</v>
      </c>
      <c r="C35">
        <v>443.63409999999999</v>
      </c>
      <c r="D35">
        <v>356.51049999999998</v>
      </c>
      <c r="E35">
        <v>127.2</v>
      </c>
      <c r="F35">
        <v>1387.8</v>
      </c>
      <c r="G35">
        <v>689.15700000000004</v>
      </c>
      <c r="J35" s="1">
        <v>41425</v>
      </c>
      <c r="K35">
        <v>116.66</v>
      </c>
      <c r="L35">
        <v>195.8184</v>
      </c>
      <c r="M35">
        <v>322.15120000000002</v>
      </c>
      <c r="N35" t="s">
        <v>18</v>
      </c>
      <c r="O35">
        <v>1067.8900000000001</v>
      </c>
      <c r="P35">
        <v>141.27799999999999</v>
      </c>
      <c r="Q35">
        <v>0.76939999999999997</v>
      </c>
      <c r="R35">
        <f t="shared" si="0"/>
        <v>97.867679999999993</v>
      </c>
      <c r="T35" s="1">
        <v>41333</v>
      </c>
      <c r="U35">
        <v>33.380000000000003</v>
      </c>
    </row>
    <row r="36" spans="1:21" x14ac:dyDescent="0.25">
      <c r="A36" s="1">
        <v>41453</v>
      </c>
      <c r="B36">
        <v>156.3321</v>
      </c>
      <c r="C36">
        <v>437.45960000000002</v>
      </c>
      <c r="D36">
        <v>346.1352</v>
      </c>
      <c r="E36">
        <v>96.99</v>
      </c>
      <c r="F36">
        <v>1234.53</v>
      </c>
      <c r="G36">
        <v>689.19600000000003</v>
      </c>
      <c r="J36" s="1">
        <v>41453</v>
      </c>
      <c r="K36">
        <v>112.91500000000001</v>
      </c>
      <c r="L36">
        <v>193.0718</v>
      </c>
      <c r="M36">
        <v>312.75790000000001</v>
      </c>
      <c r="N36" t="s">
        <v>18</v>
      </c>
      <c r="O36">
        <v>948.93</v>
      </c>
      <c r="P36">
        <v>141.267</v>
      </c>
      <c r="Q36">
        <v>0.76870000000000005</v>
      </c>
      <c r="R36">
        <f t="shared" si="0"/>
        <v>74.556213</v>
      </c>
      <c r="T36" s="1">
        <v>41364</v>
      </c>
      <c r="U36">
        <v>90.5</v>
      </c>
    </row>
    <row r="37" spans="1:21" x14ac:dyDescent="0.25">
      <c r="A37" s="1">
        <v>41486</v>
      </c>
      <c r="B37">
        <v>163.81620000000001</v>
      </c>
      <c r="C37">
        <v>439.19229999999999</v>
      </c>
      <c r="D37">
        <v>352.8913</v>
      </c>
      <c r="E37">
        <v>97.25</v>
      </c>
      <c r="F37">
        <v>1325.07</v>
      </c>
      <c r="G37">
        <v>689.25400000000002</v>
      </c>
      <c r="J37" s="1">
        <v>41486</v>
      </c>
      <c r="K37">
        <v>115.825</v>
      </c>
      <c r="L37">
        <v>193.8031</v>
      </c>
      <c r="M37">
        <v>318.73180000000002</v>
      </c>
      <c r="N37" t="s">
        <v>18</v>
      </c>
      <c r="O37">
        <v>996.29</v>
      </c>
      <c r="P37">
        <v>141.29400000000001</v>
      </c>
      <c r="Q37">
        <v>0.75170000000000003</v>
      </c>
      <c r="R37">
        <f t="shared" si="0"/>
        <v>73.10282500000001</v>
      </c>
      <c r="T37" s="1">
        <v>41394</v>
      </c>
      <c r="U37">
        <v>133.75</v>
      </c>
    </row>
    <row r="38" spans="1:21" x14ac:dyDescent="0.25">
      <c r="A38" s="1">
        <v>41516</v>
      </c>
      <c r="B38">
        <v>160.40280000000001</v>
      </c>
      <c r="C38">
        <v>437.52480000000003</v>
      </c>
      <c r="D38">
        <v>350.79469999999998</v>
      </c>
      <c r="E38">
        <v>126.02</v>
      </c>
      <c r="F38">
        <v>1395.27</v>
      </c>
      <c r="G38">
        <v>689.28800000000001</v>
      </c>
      <c r="J38" s="1">
        <v>41516</v>
      </c>
      <c r="K38">
        <v>114.208</v>
      </c>
      <c r="L38">
        <v>193.03909999999999</v>
      </c>
      <c r="M38">
        <v>316.78100000000001</v>
      </c>
      <c r="N38" t="s">
        <v>18</v>
      </c>
      <c r="O38">
        <v>1055.25</v>
      </c>
      <c r="P38">
        <v>141.30500000000001</v>
      </c>
      <c r="Q38">
        <v>0.75639999999999996</v>
      </c>
      <c r="R38">
        <f t="shared" si="0"/>
        <v>95.321527999999986</v>
      </c>
      <c r="T38" s="1">
        <v>41425</v>
      </c>
      <c r="U38">
        <v>127.2</v>
      </c>
    </row>
    <row r="39" spans="1:21" x14ac:dyDescent="0.25">
      <c r="A39" s="1">
        <v>41547</v>
      </c>
      <c r="B39">
        <v>168.6883</v>
      </c>
      <c r="C39">
        <v>441.07580000000002</v>
      </c>
      <c r="D39">
        <v>354.91370000000001</v>
      </c>
      <c r="E39">
        <v>127.09</v>
      </c>
      <c r="F39">
        <v>1329.03</v>
      </c>
      <c r="G39">
        <v>689.32</v>
      </c>
      <c r="J39" s="1">
        <v>41547</v>
      </c>
      <c r="K39">
        <v>116.997</v>
      </c>
      <c r="L39">
        <v>194.55340000000001</v>
      </c>
      <c r="M39">
        <v>320.41730000000001</v>
      </c>
      <c r="N39">
        <v>94.5</v>
      </c>
      <c r="O39">
        <v>982.57</v>
      </c>
      <c r="P39">
        <v>141.32599999999999</v>
      </c>
      <c r="Q39">
        <v>0.73929999999999996</v>
      </c>
      <c r="R39">
        <f t="shared" si="0"/>
        <v>93.957636999999991</v>
      </c>
      <c r="T39" s="1">
        <v>41455</v>
      </c>
      <c r="U39">
        <v>96.99</v>
      </c>
    </row>
    <row r="40" spans="1:21" x14ac:dyDescent="0.25">
      <c r="A40" s="1">
        <v>41578</v>
      </c>
      <c r="B40">
        <v>175.46770000000001</v>
      </c>
      <c r="C40">
        <v>445.03919999999999</v>
      </c>
      <c r="D40">
        <v>363.59449999999998</v>
      </c>
      <c r="E40">
        <v>206.34</v>
      </c>
      <c r="F40">
        <v>1323.06</v>
      </c>
      <c r="G40">
        <v>689.29399999999998</v>
      </c>
      <c r="J40" s="1">
        <v>41578</v>
      </c>
      <c r="K40">
        <v>121.175</v>
      </c>
      <c r="L40">
        <v>196.28</v>
      </c>
      <c r="M40">
        <v>328.20170000000002</v>
      </c>
      <c r="N40">
        <v>150</v>
      </c>
      <c r="O40">
        <v>974.03</v>
      </c>
      <c r="P40">
        <v>141.33000000000001</v>
      </c>
      <c r="Q40">
        <v>0.73619999999999997</v>
      </c>
      <c r="R40">
        <f t="shared" si="0"/>
        <v>151.90750800000001</v>
      </c>
      <c r="T40" s="1">
        <v>41486</v>
      </c>
      <c r="U40">
        <v>97.25</v>
      </c>
    </row>
    <row r="41" spans="1:21" x14ac:dyDescent="0.25">
      <c r="A41" s="1">
        <v>41607</v>
      </c>
      <c r="B41">
        <v>177.953</v>
      </c>
      <c r="C41">
        <v>444.42950000000002</v>
      </c>
      <c r="D41">
        <v>364.58390000000003</v>
      </c>
      <c r="E41">
        <v>1137</v>
      </c>
      <c r="F41">
        <v>1253.3499999999999</v>
      </c>
      <c r="G41">
        <v>689.33500000000004</v>
      </c>
      <c r="J41" s="1">
        <v>41607</v>
      </c>
      <c r="K41">
        <v>122.70699999999999</v>
      </c>
      <c r="L41">
        <v>196</v>
      </c>
      <c r="M41">
        <v>329.07380000000001</v>
      </c>
      <c r="N41">
        <v>850.5</v>
      </c>
      <c r="O41">
        <v>922.24</v>
      </c>
      <c r="P41">
        <v>141.32599999999999</v>
      </c>
      <c r="Q41">
        <v>0.73580000000000001</v>
      </c>
      <c r="R41">
        <f t="shared" si="0"/>
        <v>836.6046</v>
      </c>
      <c r="T41" s="1">
        <v>41517</v>
      </c>
      <c r="U41">
        <v>126.02</v>
      </c>
    </row>
    <row r="42" spans="1:21" x14ac:dyDescent="0.25">
      <c r="A42" s="1">
        <v>41639</v>
      </c>
      <c r="B42">
        <v>181.02340000000001</v>
      </c>
      <c r="C42">
        <v>442.02809999999999</v>
      </c>
      <c r="D42">
        <v>367.05369999999999</v>
      </c>
      <c r="E42">
        <v>746.89</v>
      </c>
      <c r="F42">
        <v>1201.6400000000001</v>
      </c>
      <c r="G42">
        <v>689.42499999999995</v>
      </c>
      <c r="J42" s="1">
        <v>41639</v>
      </c>
      <c r="K42">
        <v>123.33799999999999</v>
      </c>
      <c r="L42">
        <v>194.95939999999999</v>
      </c>
      <c r="M42">
        <v>331.29250000000002</v>
      </c>
      <c r="N42">
        <v>539</v>
      </c>
      <c r="O42">
        <v>875.88</v>
      </c>
      <c r="P42">
        <v>141.30699999999999</v>
      </c>
      <c r="Q42">
        <v>0.72770000000000001</v>
      </c>
      <c r="R42">
        <f t="shared" si="0"/>
        <v>543.51185299999997</v>
      </c>
      <c r="T42" s="1">
        <v>41547</v>
      </c>
      <c r="U42">
        <v>127.09</v>
      </c>
    </row>
    <row r="43" spans="1:21" x14ac:dyDescent="0.25">
      <c r="A43" s="1">
        <v>41670</v>
      </c>
      <c r="B43">
        <v>173.78210000000001</v>
      </c>
      <c r="C43">
        <v>448.37759999999997</v>
      </c>
      <c r="D43">
        <v>367.78309999999999</v>
      </c>
      <c r="E43">
        <v>806.69</v>
      </c>
      <c r="F43">
        <v>1244.55</v>
      </c>
      <c r="G43">
        <v>689.471</v>
      </c>
      <c r="J43" s="1">
        <v>41670</v>
      </c>
      <c r="K43">
        <v>120.986</v>
      </c>
      <c r="L43">
        <v>197.81890000000001</v>
      </c>
      <c r="M43">
        <v>331.9359</v>
      </c>
      <c r="N43">
        <v>595.89</v>
      </c>
      <c r="O43">
        <v>922.74</v>
      </c>
      <c r="P43">
        <v>141.34800000000001</v>
      </c>
      <c r="Q43">
        <v>0.74150000000000005</v>
      </c>
      <c r="R43">
        <f t="shared" si="0"/>
        <v>598.16063500000007</v>
      </c>
      <c r="T43" s="1">
        <v>41578</v>
      </c>
      <c r="U43">
        <v>206.34</v>
      </c>
    </row>
    <row r="44" spans="1:21" x14ac:dyDescent="0.25">
      <c r="A44" s="1">
        <v>41698</v>
      </c>
      <c r="B44">
        <v>182.17740000000001</v>
      </c>
      <c r="C44">
        <v>450.58120000000002</v>
      </c>
      <c r="D44">
        <v>375.49090000000001</v>
      </c>
      <c r="E44">
        <v>566.91</v>
      </c>
      <c r="F44">
        <v>1326.39</v>
      </c>
      <c r="G44">
        <v>689.47500000000002</v>
      </c>
      <c r="J44" s="1">
        <v>41698</v>
      </c>
      <c r="K44">
        <v>123.837</v>
      </c>
      <c r="L44">
        <v>198.77340000000001</v>
      </c>
      <c r="M44">
        <v>338.76350000000002</v>
      </c>
      <c r="N44">
        <v>409.63</v>
      </c>
      <c r="O44">
        <v>961.04</v>
      </c>
      <c r="P44">
        <v>141.364</v>
      </c>
      <c r="Q44">
        <v>0.72460000000000002</v>
      </c>
      <c r="R44">
        <f t="shared" si="0"/>
        <v>410.78298599999999</v>
      </c>
      <c r="T44" s="1">
        <v>41608</v>
      </c>
      <c r="U44">
        <v>1137</v>
      </c>
    </row>
    <row r="45" spans="1:21" x14ac:dyDescent="0.25">
      <c r="A45" s="1">
        <v>41729</v>
      </c>
      <c r="B45">
        <v>182.9872</v>
      </c>
      <c r="C45">
        <v>451.02420000000001</v>
      </c>
      <c r="D45">
        <v>377.85489999999999</v>
      </c>
      <c r="E45">
        <v>465.75</v>
      </c>
      <c r="F45">
        <v>1284.01</v>
      </c>
      <c r="G45">
        <v>689.50400000000002</v>
      </c>
      <c r="J45" s="1">
        <v>41729</v>
      </c>
      <c r="K45">
        <v>124.649</v>
      </c>
      <c r="L45">
        <v>198.9725</v>
      </c>
      <c r="M45">
        <v>340.90499999999997</v>
      </c>
      <c r="N45">
        <v>334.13</v>
      </c>
      <c r="O45">
        <v>932.46</v>
      </c>
      <c r="P45">
        <v>141.363</v>
      </c>
      <c r="Q45">
        <v>0.72629999999999995</v>
      </c>
      <c r="R45">
        <f t="shared" si="0"/>
        <v>338.274225</v>
      </c>
      <c r="T45" s="1">
        <v>41639</v>
      </c>
      <c r="U45">
        <v>746.89</v>
      </c>
    </row>
    <row r="46" spans="1:21" x14ac:dyDescent="0.25">
      <c r="A46" s="1">
        <v>41759</v>
      </c>
      <c r="B46">
        <v>184.7287</v>
      </c>
      <c r="C46">
        <v>454.14519999999999</v>
      </c>
      <c r="D46">
        <v>381.0369</v>
      </c>
      <c r="E46">
        <v>448.23</v>
      </c>
      <c r="F46">
        <v>1291.5999999999999</v>
      </c>
      <c r="G46">
        <v>689.53300000000002</v>
      </c>
      <c r="J46" s="1">
        <v>41759</v>
      </c>
      <c r="K46">
        <v>125.08199999999999</v>
      </c>
      <c r="L46">
        <v>200.35640000000001</v>
      </c>
      <c r="M46">
        <v>343.78930000000003</v>
      </c>
      <c r="N46">
        <v>323.66000000000003</v>
      </c>
      <c r="O46">
        <v>931.35</v>
      </c>
      <c r="P46">
        <v>141.393</v>
      </c>
      <c r="Q46">
        <v>0.72109999999999996</v>
      </c>
      <c r="R46">
        <f t="shared" si="0"/>
        <v>323.21865300000002</v>
      </c>
      <c r="T46" s="1">
        <v>41670</v>
      </c>
      <c r="U46">
        <v>806.69</v>
      </c>
    </row>
    <row r="47" spans="1:21" x14ac:dyDescent="0.25">
      <c r="A47" s="1">
        <v>41789</v>
      </c>
      <c r="B47">
        <v>188.65780000000001</v>
      </c>
      <c r="C47">
        <v>458.52600000000001</v>
      </c>
      <c r="D47">
        <v>385.4803</v>
      </c>
      <c r="E47">
        <v>613.91999999999996</v>
      </c>
      <c r="F47">
        <v>1249.68</v>
      </c>
      <c r="G47">
        <v>689.53700000000003</v>
      </c>
      <c r="J47" s="1">
        <v>41789</v>
      </c>
      <c r="K47">
        <v>129.80199999999999</v>
      </c>
      <c r="L47">
        <v>202.33090000000001</v>
      </c>
      <c r="M47">
        <v>347.86680000000001</v>
      </c>
      <c r="N47">
        <v>445.79</v>
      </c>
      <c r="O47">
        <v>916.74</v>
      </c>
      <c r="P47">
        <v>141.43299999999999</v>
      </c>
      <c r="Q47">
        <v>0.73350000000000004</v>
      </c>
      <c r="R47">
        <f t="shared" si="0"/>
        <v>450.31031999999999</v>
      </c>
      <c r="T47" s="1">
        <v>41698</v>
      </c>
      <c r="U47">
        <v>566.91</v>
      </c>
    </row>
    <row r="48" spans="1:21" x14ac:dyDescent="0.25">
      <c r="A48" s="1">
        <v>41820</v>
      </c>
      <c r="B48">
        <v>192.21010000000001</v>
      </c>
      <c r="C48">
        <v>460.08409999999998</v>
      </c>
      <c r="D48">
        <v>389.3064</v>
      </c>
      <c r="E48">
        <v>646.97</v>
      </c>
      <c r="F48">
        <v>1327.33</v>
      </c>
      <c r="G48">
        <v>689.57299999999998</v>
      </c>
      <c r="J48" s="1">
        <v>41820</v>
      </c>
      <c r="K48">
        <v>131.80199999999999</v>
      </c>
      <c r="L48">
        <v>203.03190000000001</v>
      </c>
      <c r="M48">
        <v>351.3383</v>
      </c>
      <c r="N48">
        <v>470.34</v>
      </c>
      <c r="O48">
        <v>969.39</v>
      </c>
      <c r="P48">
        <v>141.46</v>
      </c>
      <c r="Q48">
        <v>0.73050000000000004</v>
      </c>
      <c r="R48">
        <f t="shared" si="0"/>
        <v>472.61158500000005</v>
      </c>
      <c r="T48" s="1">
        <v>41729</v>
      </c>
      <c r="U48">
        <v>465.75</v>
      </c>
    </row>
    <row r="49" spans="1:21" x14ac:dyDescent="0.25">
      <c r="A49" s="1">
        <v>41851</v>
      </c>
      <c r="B49">
        <v>189.87889999999999</v>
      </c>
      <c r="C49">
        <v>461.0745</v>
      </c>
      <c r="D49">
        <v>385.96499999999997</v>
      </c>
      <c r="E49">
        <v>586.36</v>
      </c>
      <c r="F49">
        <v>1282.5899999999999</v>
      </c>
      <c r="G49">
        <v>689.59299999999996</v>
      </c>
      <c r="J49" s="1">
        <v>41851</v>
      </c>
      <c r="K49">
        <v>133.23400000000001</v>
      </c>
      <c r="L49">
        <v>203.44880000000001</v>
      </c>
      <c r="M49">
        <v>348.17559999999997</v>
      </c>
      <c r="N49">
        <v>438.72</v>
      </c>
      <c r="O49">
        <v>957.9</v>
      </c>
      <c r="P49">
        <v>141.46600000000001</v>
      </c>
      <c r="Q49">
        <v>0.74660000000000004</v>
      </c>
      <c r="R49">
        <f t="shared" si="0"/>
        <v>437.77637600000003</v>
      </c>
      <c r="T49" s="1">
        <v>41759</v>
      </c>
      <c r="U49">
        <v>448.23</v>
      </c>
    </row>
    <row r="50" spans="1:21" x14ac:dyDescent="0.25">
      <c r="A50" s="1">
        <v>41880</v>
      </c>
      <c r="B50">
        <v>194.0735</v>
      </c>
      <c r="C50">
        <v>466.69299999999998</v>
      </c>
      <c r="D50">
        <v>389.49110000000002</v>
      </c>
      <c r="E50">
        <v>479.7</v>
      </c>
      <c r="F50">
        <v>1287.32</v>
      </c>
      <c r="G50">
        <v>689.61500000000001</v>
      </c>
      <c r="J50" s="1">
        <v>41880</v>
      </c>
      <c r="K50">
        <v>138.328</v>
      </c>
      <c r="L50">
        <v>205.94380000000001</v>
      </c>
      <c r="M50">
        <v>351.35879999999997</v>
      </c>
      <c r="N50">
        <v>385.79</v>
      </c>
      <c r="O50">
        <v>980.44</v>
      </c>
      <c r="P50">
        <v>141.47499999999999</v>
      </c>
      <c r="Q50">
        <v>0.76149999999999995</v>
      </c>
      <c r="R50">
        <f t="shared" si="0"/>
        <v>365.29154999999997</v>
      </c>
      <c r="T50" s="1">
        <v>41790</v>
      </c>
      <c r="U50">
        <v>613.91999999999996</v>
      </c>
    </row>
    <row r="51" spans="1:21" x14ac:dyDescent="0.25">
      <c r="A51" s="1">
        <v>41912</v>
      </c>
      <c r="B51">
        <v>187.77959999999999</v>
      </c>
      <c r="C51">
        <v>465.3177</v>
      </c>
      <c r="D51">
        <v>382.7106</v>
      </c>
      <c r="E51">
        <v>389.68</v>
      </c>
      <c r="F51">
        <v>1208.1500000000001</v>
      </c>
      <c r="G51">
        <v>689.64099999999996</v>
      </c>
      <c r="J51" s="1">
        <v>41912</v>
      </c>
      <c r="K51">
        <v>139.55799999999999</v>
      </c>
      <c r="L51">
        <v>205.26580000000001</v>
      </c>
      <c r="M51">
        <v>344.8562</v>
      </c>
      <c r="N51">
        <v>307.83</v>
      </c>
      <c r="O51">
        <v>956.51</v>
      </c>
      <c r="P51">
        <v>141.51</v>
      </c>
      <c r="Q51">
        <v>0.79169999999999996</v>
      </c>
      <c r="R51">
        <f t="shared" si="0"/>
        <v>308.50965600000001</v>
      </c>
      <c r="T51" s="1">
        <v>41820</v>
      </c>
      <c r="U51">
        <v>646.97</v>
      </c>
    </row>
    <row r="52" spans="1:21" x14ac:dyDescent="0.25">
      <c r="A52" s="1">
        <v>41943</v>
      </c>
      <c r="B52">
        <v>189.10210000000001</v>
      </c>
      <c r="C52">
        <v>468.70890000000003</v>
      </c>
      <c r="D52">
        <v>385.80680000000001</v>
      </c>
      <c r="E52">
        <v>342.38</v>
      </c>
      <c r="F52">
        <v>1172.94</v>
      </c>
      <c r="G52">
        <v>689.65099999999995</v>
      </c>
      <c r="J52" s="1">
        <v>41943</v>
      </c>
      <c r="K52">
        <v>141.702</v>
      </c>
      <c r="L52">
        <v>206.7287</v>
      </c>
      <c r="M52">
        <v>347.58420000000001</v>
      </c>
      <c r="N52">
        <v>272.75</v>
      </c>
      <c r="O52">
        <v>936.83</v>
      </c>
      <c r="P52">
        <v>141.50299999999999</v>
      </c>
      <c r="Q52">
        <v>0.79830000000000001</v>
      </c>
      <c r="R52">
        <f t="shared" si="0"/>
        <v>273.32195400000001</v>
      </c>
      <c r="T52" s="1">
        <v>41851</v>
      </c>
      <c r="U52">
        <v>586.36</v>
      </c>
    </row>
    <row r="53" spans="1:21" x14ac:dyDescent="0.25">
      <c r="A53" s="1">
        <v>41971</v>
      </c>
      <c r="B53">
        <v>192.2655</v>
      </c>
      <c r="C53">
        <v>473.11020000000002</v>
      </c>
      <c r="D53">
        <v>383.6173</v>
      </c>
      <c r="E53">
        <v>375.76</v>
      </c>
      <c r="F53">
        <v>1167.3800000000001</v>
      </c>
      <c r="G53">
        <v>689.66200000000003</v>
      </c>
      <c r="J53" s="1">
        <v>41971</v>
      </c>
      <c r="K53">
        <v>144.79499999999999</v>
      </c>
      <c r="L53">
        <v>208.63990000000001</v>
      </c>
      <c r="M53">
        <v>345.52679999999998</v>
      </c>
      <c r="N53">
        <v>303.85000000000002</v>
      </c>
      <c r="O53">
        <v>937.51</v>
      </c>
      <c r="P53">
        <v>141.49199999999999</v>
      </c>
      <c r="Q53">
        <v>0.80330000000000001</v>
      </c>
      <c r="R53">
        <f t="shared" si="0"/>
        <v>301.84800799999999</v>
      </c>
      <c r="T53" s="1">
        <v>41882</v>
      </c>
      <c r="U53">
        <v>479.7</v>
      </c>
    </row>
    <row r="54" spans="1:21" x14ac:dyDescent="0.25">
      <c r="A54" s="1">
        <v>42004</v>
      </c>
      <c r="B54">
        <v>188.5547</v>
      </c>
      <c r="C54">
        <v>475.55950000000001</v>
      </c>
      <c r="D54">
        <v>376.51740000000001</v>
      </c>
      <c r="E54">
        <v>317.36</v>
      </c>
      <c r="F54">
        <v>1184.3699999999999</v>
      </c>
      <c r="G54">
        <v>689.66499999999996</v>
      </c>
      <c r="J54" s="1">
        <v>42004</v>
      </c>
      <c r="K54">
        <v>146.29499999999999</v>
      </c>
      <c r="L54">
        <v>209.7114</v>
      </c>
      <c r="M54">
        <v>338.83629999999999</v>
      </c>
      <c r="N54">
        <v>263.77999999999997</v>
      </c>
      <c r="O54">
        <v>978.98</v>
      </c>
      <c r="P54">
        <v>141.49</v>
      </c>
      <c r="Q54">
        <v>0.8266</v>
      </c>
      <c r="R54">
        <f t="shared" si="0"/>
        <v>262.32977600000004</v>
      </c>
      <c r="T54" s="1">
        <v>41912</v>
      </c>
      <c r="U54">
        <v>389.68</v>
      </c>
    </row>
    <row r="55" spans="1:21" x14ac:dyDescent="0.25">
      <c r="A55" s="1">
        <v>42034</v>
      </c>
      <c r="B55">
        <v>185.60740000000001</v>
      </c>
      <c r="C55">
        <v>484.42860000000002</v>
      </c>
      <c r="D55">
        <v>377.85289999999998</v>
      </c>
      <c r="E55">
        <v>229.67</v>
      </c>
      <c r="F55">
        <v>1283.79</v>
      </c>
      <c r="G55">
        <v>689.68700000000001</v>
      </c>
      <c r="J55" s="1">
        <v>42034</v>
      </c>
      <c r="K55">
        <v>154.422</v>
      </c>
      <c r="L55">
        <v>213.8184</v>
      </c>
      <c r="M55">
        <v>339.88049999999998</v>
      </c>
      <c r="N55">
        <v>203.83</v>
      </c>
      <c r="O55">
        <v>1137.48</v>
      </c>
      <c r="P55">
        <v>141.51599999999999</v>
      </c>
      <c r="Q55">
        <v>0.8861</v>
      </c>
      <c r="R55">
        <f t="shared" si="0"/>
        <v>203.51058699999999</v>
      </c>
      <c r="T55" s="1">
        <v>41943</v>
      </c>
      <c r="U55">
        <v>342.38</v>
      </c>
    </row>
    <row r="56" spans="1:21" x14ac:dyDescent="0.25">
      <c r="A56" s="1">
        <v>42062</v>
      </c>
      <c r="B56">
        <v>195.94049999999999</v>
      </c>
      <c r="C56">
        <v>481.56639999999999</v>
      </c>
      <c r="D56">
        <v>387.26220000000001</v>
      </c>
      <c r="E56">
        <v>254.87</v>
      </c>
      <c r="F56">
        <v>1213.18</v>
      </c>
      <c r="G56">
        <v>689.68700000000001</v>
      </c>
      <c r="J56" s="1">
        <v>42062</v>
      </c>
      <c r="K56">
        <v>164.00700000000001</v>
      </c>
      <c r="L56">
        <v>212.49420000000001</v>
      </c>
      <c r="M56">
        <v>348.303</v>
      </c>
      <c r="N56">
        <v>222.62</v>
      </c>
      <c r="O56">
        <v>1083.52</v>
      </c>
      <c r="P56">
        <v>141.52699999999999</v>
      </c>
      <c r="Q56">
        <v>0.8931</v>
      </c>
      <c r="R56">
        <f t="shared" si="0"/>
        <v>227.62439700000002</v>
      </c>
      <c r="T56" s="1">
        <v>41973</v>
      </c>
      <c r="U56">
        <v>375.76</v>
      </c>
    </row>
    <row r="57" spans="1:21" x14ac:dyDescent="0.25">
      <c r="A57" s="1">
        <v>42094</v>
      </c>
      <c r="B57">
        <v>192.90379999999999</v>
      </c>
      <c r="C57">
        <v>484.32580000000002</v>
      </c>
      <c r="D57">
        <v>387.23779999999999</v>
      </c>
      <c r="E57">
        <v>244.14</v>
      </c>
      <c r="F57">
        <v>1183.57</v>
      </c>
      <c r="G57">
        <v>689.68799999999999</v>
      </c>
      <c r="J57" s="1">
        <v>42094</v>
      </c>
      <c r="K57">
        <v>168.62899999999999</v>
      </c>
      <c r="L57">
        <v>213.67150000000001</v>
      </c>
      <c r="M57">
        <v>348.06849999999997</v>
      </c>
      <c r="N57">
        <v>227.64</v>
      </c>
      <c r="O57">
        <v>1103.06</v>
      </c>
      <c r="P57">
        <v>141.518</v>
      </c>
      <c r="Q57">
        <v>0.93179999999999996</v>
      </c>
      <c r="R57">
        <f t="shared" si="0"/>
        <v>227.48965199999998</v>
      </c>
      <c r="T57" s="1">
        <v>42004</v>
      </c>
      <c r="U57">
        <v>317.36</v>
      </c>
    </row>
    <row r="58" spans="1:21" x14ac:dyDescent="0.25">
      <c r="A58" s="1">
        <v>42124</v>
      </c>
      <c r="B58">
        <v>198.50139999999999</v>
      </c>
      <c r="C58">
        <v>481.61790000000002</v>
      </c>
      <c r="D58">
        <v>393.71969999999999</v>
      </c>
      <c r="E58">
        <v>236.58</v>
      </c>
      <c r="F58">
        <v>1184.3699999999999</v>
      </c>
      <c r="G58">
        <v>689.70299999999997</v>
      </c>
      <c r="J58" s="1">
        <v>42124</v>
      </c>
      <c r="K58">
        <v>166.31399999999999</v>
      </c>
      <c r="L58">
        <v>212.44640000000001</v>
      </c>
      <c r="M58">
        <v>353.56709999999998</v>
      </c>
      <c r="N58">
        <v>210.86</v>
      </c>
      <c r="O58">
        <v>1055.3699999999999</v>
      </c>
      <c r="P58">
        <v>141.50299999999999</v>
      </c>
      <c r="Q58">
        <v>0.8911</v>
      </c>
      <c r="R58">
        <f t="shared" si="0"/>
        <v>210.81643800000001</v>
      </c>
      <c r="T58" s="1">
        <v>42035</v>
      </c>
      <c r="U58">
        <v>229.67</v>
      </c>
    </row>
    <row r="59" spans="1:21" x14ac:dyDescent="0.25">
      <c r="A59" s="1">
        <v>42153</v>
      </c>
      <c r="B59">
        <v>198.2424</v>
      </c>
      <c r="C59">
        <v>479.62150000000003</v>
      </c>
      <c r="D59">
        <v>395.00869999999998</v>
      </c>
      <c r="E59">
        <v>231.78</v>
      </c>
      <c r="F59">
        <v>1190.58</v>
      </c>
      <c r="G59">
        <v>689.70899999999995</v>
      </c>
      <c r="J59" s="1">
        <v>42153</v>
      </c>
      <c r="K59">
        <v>169.76300000000001</v>
      </c>
      <c r="L59">
        <v>211.4597</v>
      </c>
      <c r="M59">
        <v>354.58409999999998</v>
      </c>
      <c r="N59">
        <v>213.18</v>
      </c>
      <c r="O59">
        <v>1083.04</v>
      </c>
      <c r="P59">
        <v>141.47800000000001</v>
      </c>
      <c r="Q59">
        <v>0.90980000000000005</v>
      </c>
      <c r="R59">
        <f t="shared" si="0"/>
        <v>210.87344400000001</v>
      </c>
      <c r="T59" s="1">
        <v>42063</v>
      </c>
      <c r="U59">
        <v>254.87</v>
      </c>
    </row>
    <row r="60" spans="1:21" x14ac:dyDescent="0.25">
      <c r="A60" s="1">
        <v>42185</v>
      </c>
      <c r="B60">
        <v>193.57509999999999</v>
      </c>
      <c r="C60">
        <v>473.69290000000001</v>
      </c>
      <c r="D60">
        <v>389.15320000000003</v>
      </c>
      <c r="E60">
        <v>260.97000000000003</v>
      </c>
      <c r="F60">
        <v>1172.3499999999999</v>
      </c>
      <c r="G60">
        <v>689.72500000000002</v>
      </c>
      <c r="J60" s="1">
        <v>42185</v>
      </c>
      <c r="K60">
        <v>163.11099999999999</v>
      </c>
      <c r="L60">
        <v>208.8115</v>
      </c>
      <c r="M60">
        <v>349.29989999999998</v>
      </c>
      <c r="N60">
        <v>233.91</v>
      </c>
      <c r="O60">
        <v>1052.48</v>
      </c>
      <c r="P60">
        <v>141.44900000000001</v>
      </c>
      <c r="Q60">
        <v>0.89790000000000003</v>
      </c>
      <c r="R60">
        <f t="shared" si="0"/>
        <v>234.32496300000003</v>
      </c>
      <c r="T60" s="1">
        <v>42094</v>
      </c>
      <c r="U60">
        <v>244.14</v>
      </c>
    </row>
    <row r="61" spans="1:21" x14ac:dyDescent="0.25">
      <c r="A61" s="1">
        <v>42216</v>
      </c>
      <c r="B61">
        <v>195.25630000000001</v>
      </c>
      <c r="C61">
        <v>478.3845</v>
      </c>
      <c r="D61">
        <v>388.63940000000002</v>
      </c>
      <c r="E61">
        <v>284.69</v>
      </c>
      <c r="F61">
        <v>1095.8</v>
      </c>
      <c r="G61">
        <v>689.69299999999998</v>
      </c>
      <c r="J61" s="1">
        <v>42216</v>
      </c>
      <c r="K61">
        <v>165.92</v>
      </c>
      <c r="L61">
        <v>210.80969999999999</v>
      </c>
      <c r="M61">
        <v>348.6746</v>
      </c>
      <c r="N61">
        <v>260.29000000000002</v>
      </c>
      <c r="O61">
        <v>997.59</v>
      </c>
      <c r="P61">
        <v>141.42400000000001</v>
      </c>
      <c r="Q61">
        <v>0.91039999999999999</v>
      </c>
      <c r="R61">
        <f t="shared" si="0"/>
        <v>259.18177600000001</v>
      </c>
      <c r="T61" s="1">
        <v>42124</v>
      </c>
      <c r="U61">
        <v>236.58</v>
      </c>
    </row>
    <row r="62" spans="1:21" x14ac:dyDescent="0.25">
      <c r="A62" s="1">
        <v>42247</v>
      </c>
      <c r="B62">
        <v>181.87139999999999</v>
      </c>
      <c r="C62">
        <v>477.09129999999999</v>
      </c>
      <c r="D62">
        <v>383.11590000000001</v>
      </c>
      <c r="E62">
        <v>230.41</v>
      </c>
      <c r="F62">
        <v>1134.93</v>
      </c>
      <c r="G62">
        <v>689.79600000000005</v>
      </c>
      <c r="J62" s="1">
        <v>42247</v>
      </c>
      <c r="K62">
        <v>152.387</v>
      </c>
      <c r="L62">
        <v>210.17019999999999</v>
      </c>
      <c r="M62">
        <v>343.67540000000002</v>
      </c>
      <c r="N62">
        <v>205.74</v>
      </c>
      <c r="O62">
        <v>1012.28</v>
      </c>
      <c r="P62">
        <v>141.40799999999999</v>
      </c>
      <c r="Q62">
        <v>0.89200000000000002</v>
      </c>
      <c r="R62">
        <f t="shared" si="0"/>
        <v>205.52572000000001</v>
      </c>
      <c r="T62" s="1">
        <v>42155</v>
      </c>
      <c r="U62">
        <v>231.78</v>
      </c>
    </row>
    <row r="63" spans="1:21" x14ac:dyDescent="0.25">
      <c r="A63" s="1">
        <v>42277</v>
      </c>
      <c r="B63">
        <v>175.2824</v>
      </c>
      <c r="C63">
        <v>479.92090000000002</v>
      </c>
      <c r="D63">
        <v>375.08390000000003</v>
      </c>
      <c r="E63">
        <v>236.99</v>
      </c>
      <c r="F63">
        <v>1115.0899999999999</v>
      </c>
      <c r="G63">
        <v>689.81299999999999</v>
      </c>
      <c r="J63" s="1">
        <v>42277</v>
      </c>
      <c r="K63">
        <v>147.42599999999999</v>
      </c>
      <c r="L63">
        <v>211.32849999999999</v>
      </c>
      <c r="M63">
        <v>336.28399999999999</v>
      </c>
      <c r="N63">
        <v>210.51</v>
      </c>
      <c r="O63">
        <v>997.66</v>
      </c>
      <c r="P63">
        <v>141.39500000000001</v>
      </c>
      <c r="Q63">
        <v>0.89470000000000005</v>
      </c>
      <c r="R63">
        <f t="shared" si="0"/>
        <v>212.03495300000003</v>
      </c>
      <c r="T63" s="1">
        <v>42185</v>
      </c>
      <c r="U63">
        <v>260.97000000000003</v>
      </c>
    </row>
    <row r="64" spans="1:21" x14ac:dyDescent="0.25">
      <c r="A64" s="1">
        <v>42307</v>
      </c>
      <c r="B64">
        <v>189.03890000000001</v>
      </c>
      <c r="C64">
        <v>481.47739999999999</v>
      </c>
      <c r="D64">
        <v>386.791</v>
      </c>
      <c r="E64">
        <v>323.23</v>
      </c>
      <c r="F64">
        <v>1142.1099999999999</v>
      </c>
      <c r="G64">
        <v>689.76300000000003</v>
      </c>
      <c r="J64" s="1">
        <v>42307</v>
      </c>
      <c r="K64">
        <v>160.66499999999999</v>
      </c>
      <c r="L64">
        <v>211.91929999999999</v>
      </c>
      <c r="M64">
        <v>346.71319999999997</v>
      </c>
      <c r="N64">
        <v>291.47000000000003</v>
      </c>
      <c r="O64">
        <v>1037.8399999999999</v>
      </c>
      <c r="P64">
        <v>141.38800000000001</v>
      </c>
      <c r="Q64">
        <v>0.90859999999999996</v>
      </c>
      <c r="R64">
        <f t="shared" si="0"/>
        <v>293.686778</v>
      </c>
      <c r="T64" s="1">
        <v>42216</v>
      </c>
      <c r="U64">
        <v>284.69</v>
      </c>
    </row>
    <row r="65" spans="1:21" x14ac:dyDescent="0.25">
      <c r="A65" s="1">
        <v>42338</v>
      </c>
      <c r="B65">
        <v>187.47810000000001</v>
      </c>
      <c r="C65">
        <v>481.69909999999999</v>
      </c>
      <c r="D65">
        <v>382.76139999999998</v>
      </c>
      <c r="E65">
        <v>376.82</v>
      </c>
      <c r="F65">
        <v>1064.77</v>
      </c>
      <c r="G65">
        <v>689.80399999999997</v>
      </c>
      <c r="J65" s="1">
        <v>42338</v>
      </c>
      <c r="K65">
        <v>166.65600000000001</v>
      </c>
      <c r="L65">
        <v>211.92869999999999</v>
      </c>
      <c r="M65">
        <v>342.71190000000001</v>
      </c>
      <c r="N65">
        <v>356.86</v>
      </c>
      <c r="O65">
        <v>1007.94</v>
      </c>
      <c r="P65">
        <v>141.37799999999999</v>
      </c>
      <c r="Q65">
        <v>0.9466</v>
      </c>
      <c r="R65">
        <f t="shared" si="0"/>
        <v>356.697812</v>
      </c>
      <c r="T65" s="1">
        <v>42247</v>
      </c>
      <c r="U65">
        <v>230.41</v>
      </c>
    </row>
    <row r="66" spans="1:21" x14ac:dyDescent="0.25">
      <c r="A66" s="1">
        <v>42369</v>
      </c>
      <c r="B66">
        <v>184.09729999999999</v>
      </c>
      <c r="C66">
        <v>480.3956</v>
      </c>
      <c r="D66">
        <v>373.9273</v>
      </c>
      <c r="E66">
        <v>432.12</v>
      </c>
      <c r="F66">
        <v>1061.0999999999999</v>
      </c>
      <c r="G66">
        <v>690.03099999999995</v>
      </c>
      <c r="J66" s="1">
        <v>42369</v>
      </c>
      <c r="K66">
        <v>159.10900000000001</v>
      </c>
      <c r="L66">
        <v>211.14420000000001</v>
      </c>
      <c r="M66">
        <v>334.6909</v>
      </c>
      <c r="N66">
        <v>397.14</v>
      </c>
      <c r="O66">
        <v>977.42</v>
      </c>
      <c r="P66">
        <v>141.334</v>
      </c>
      <c r="Q66">
        <v>0.92100000000000004</v>
      </c>
      <c r="R66">
        <f t="shared" si="0"/>
        <v>397.98252000000002</v>
      </c>
      <c r="T66" s="1">
        <v>42277</v>
      </c>
      <c r="U66">
        <v>236.99</v>
      </c>
    </row>
    <row r="67" spans="1:21" x14ac:dyDescent="0.25">
      <c r="A67" s="1">
        <v>42398</v>
      </c>
      <c r="B67">
        <v>172.99430000000001</v>
      </c>
      <c r="C67">
        <v>487.42309999999998</v>
      </c>
      <c r="D67">
        <v>369.1499</v>
      </c>
      <c r="E67">
        <v>377.29</v>
      </c>
      <c r="F67">
        <v>1118.21</v>
      </c>
      <c r="G67">
        <v>690.05200000000002</v>
      </c>
      <c r="J67" s="1">
        <v>42398</v>
      </c>
      <c r="K67">
        <v>150.1</v>
      </c>
      <c r="L67">
        <v>214.0823</v>
      </c>
      <c r="M67">
        <v>330.13200000000001</v>
      </c>
      <c r="N67">
        <v>348.53</v>
      </c>
      <c r="O67">
        <v>1032.56</v>
      </c>
      <c r="P67">
        <v>141.292</v>
      </c>
      <c r="Q67">
        <v>0.92330000000000001</v>
      </c>
      <c r="R67">
        <f t="shared" si="0"/>
        <v>348.351857</v>
      </c>
      <c r="T67" s="1">
        <v>42308</v>
      </c>
      <c r="U67">
        <v>323.23</v>
      </c>
    </row>
    <row r="68" spans="1:21" x14ac:dyDescent="0.25">
      <c r="A68" s="1">
        <v>42429</v>
      </c>
      <c r="B68">
        <v>171.80350000000001</v>
      </c>
      <c r="C68">
        <v>492.10809999999998</v>
      </c>
      <c r="D68">
        <v>371.53030000000001</v>
      </c>
      <c r="E68">
        <v>433.91</v>
      </c>
      <c r="F68">
        <v>1238.67</v>
      </c>
      <c r="G68">
        <v>690.22</v>
      </c>
      <c r="J68" s="1">
        <v>42429</v>
      </c>
      <c r="K68">
        <v>148.44900000000001</v>
      </c>
      <c r="L68">
        <v>215.9854</v>
      </c>
      <c r="M68">
        <v>332.03410000000002</v>
      </c>
      <c r="N68">
        <v>396.76</v>
      </c>
      <c r="O68">
        <v>1139.25</v>
      </c>
      <c r="P68">
        <v>141.268</v>
      </c>
      <c r="Q68">
        <v>0.91969999999999996</v>
      </c>
      <c r="R68">
        <f t="shared" si="0"/>
        <v>399.067027</v>
      </c>
      <c r="T68" s="1">
        <v>42338</v>
      </c>
      <c r="U68">
        <v>376.82</v>
      </c>
    </row>
    <row r="69" spans="1:21" x14ac:dyDescent="0.25">
      <c r="A69" s="1">
        <v>42460</v>
      </c>
      <c r="B69">
        <v>184.53579999999999</v>
      </c>
      <c r="C69">
        <v>496.15940000000001</v>
      </c>
      <c r="D69">
        <v>386.93279999999999</v>
      </c>
      <c r="E69">
        <v>416.85</v>
      </c>
      <c r="F69">
        <v>1232.75</v>
      </c>
      <c r="G69">
        <v>690.53599999999994</v>
      </c>
      <c r="J69" s="1">
        <v>42460</v>
      </c>
      <c r="K69">
        <v>152.035</v>
      </c>
      <c r="L69">
        <v>217.48580000000001</v>
      </c>
      <c r="M69">
        <v>344.9436</v>
      </c>
      <c r="N69">
        <v>367.89</v>
      </c>
      <c r="O69">
        <v>1083.24</v>
      </c>
      <c r="P69">
        <v>141.20699999999999</v>
      </c>
      <c r="Q69">
        <v>0.87870000000000004</v>
      </c>
      <c r="R69">
        <f t="shared" si="0"/>
        <v>366.28609500000005</v>
      </c>
      <c r="T69" s="1">
        <v>42369</v>
      </c>
      <c r="U69">
        <v>432.12</v>
      </c>
    </row>
    <row r="70" spans="1:21" x14ac:dyDescent="0.25">
      <c r="A70" s="1">
        <v>42489</v>
      </c>
      <c r="B70">
        <v>187.25980000000001</v>
      </c>
      <c r="C70">
        <v>497.00189999999998</v>
      </c>
      <c r="D70">
        <v>399.76499999999999</v>
      </c>
      <c r="E70">
        <v>455.15</v>
      </c>
      <c r="F70">
        <v>1293.53</v>
      </c>
      <c r="G70">
        <v>690.72199999999998</v>
      </c>
      <c r="J70" s="1">
        <v>42489</v>
      </c>
      <c r="K70">
        <v>153.49799999999999</v>
      </c>
      <c r="L70">
        <v>217.66149999999999</v>
      </c>
      <c r="M70">
        <v>356.02879999999999</v>
      </c>
      <c r="N70">
        <v>398.43</v>
      </c>
      <c r="O70">
        <v>1129.3</v>
      </c>
      <c r="P70">
        <v>141.18600000000001</v>
      </c>
      <c r="Q70">
        <v>0.87329999999999997</v>
      </c>
      <c r="R70">
        <f t="shared" si="0"/>
        <v>397.48249499999997</v>
      </c>
      <c r="T70" s="1">
        <v>42400</v>
      </c>
      <c r="U70">
        <v>377.29</v>
      </c>
    </row>
    <row r="71" spans="1:21" x14ac:dyDescent="0.25">
      <c r="A71" s="1">
        <v>42521</v>
      </c>
      <c r="B71">
        <v>187.49639999999999</v>
      </c>
      <c r="C71">
        <v>499.1028</v>
      </c>
      <c r="D71">
        <v>401.8691</v>
      </c>
      <c r="E71">
        <v>521.74</v>
      </c>
      <c r="F71">
        <v>1215.32</v>
      </c>
      <c r="G71">
        <v>690.77599999999995</v>
      </c>
      <c r="J71" s="1">
        <v>42521</v>
      </c>
      <c r="K71">
        <v>158.12299999999999</v>
      </c>
      <c r="L71">
        <v>218.40710000000001</v>
      </c>
      <c r="M71">
        <v>357.57889999999998</v>
      </c>
      <c r="N71">
        <v>466.91</v>
      </c>
      <c r="O71">
        <v>1091.74</v>
      </c>
      <c r="P71">
        <v>141.13499999999999</v>
      </c>
      <c r="Q71">
        <v>0.89829999999999999</v>
      </c>
      <c r="R71">
        <f t="shared" si="0"/>
        <v>468.67904199999998</v>
      </c>
      <c r="T71" s="1">
        <v>42429</v>
      </c>
      <c r="U71">
        <v>433.91</v>
      </c>
    </row>
    <row r="72" spans="1:21" x14ac:dyDescent="0.25">
      <c r="A72" s="1">
        <v>42551</v>
      </c>
      <c r="B72">
        <v>186.36060000000001</v>
      </c>
      <c r="C72">
        <v>508.6037</v>
      </c>
      <c r="D72">
        <v>406.73289999999997</v>
      </c>
      <c r="E72">
        <v>665.27</v>
      </c>
      <c r="F72">
        <v>1321.9</v>
      </c>
      <c r="G72">
        <v>691.03599999999994</v>
      </c>
      <c r="J72" s="1">
        <v>42551</v>
      </c>
      <c r="K72">
        <v>157.49100000000001</v>
      </c>
      <c r="L72">
        <v>222.3202</v>
      </c>
      <c r="M72">
        <v>361.49889999999999</v>
      </c>
      <c r="N72">
        <v>601.67999999999995</v>
      </c>
      <c r="O72">
        <v>1190.24</v>
      </c>
      <c r="P72">
        <v>141.102</v>
      </c>
      <c r="Q72">
        <v>0.90039999999999998</v>
      </c>
      <c r="R72">
        <f t="shared" ref="R72:R135" si="1">E72*Q72</f>
        <v>599.00910799999997</v>
      </c>
      <c r="T72" s="1">
        <v>42460</v>
      </c>
      <c r="U72">
        <v>416.85</v>
      </c>
    </row>
    <row r="73" spans="1:21" x14ac:dyDescent="0.25">
      <c r="A73" s="1">
        <v>42580</v>
      </c>
      <c r="B73">
        <v>194.3921</v>
      </c>
      <c r="C73">
        <v>511.64240000000001</v>
      </c>
      <c r="D73">
        <v>416.8184</v>
      </c>
      <c r="E73">
        <v>632</v>
      </c>
      <c r="F73">
        <v>1351.28</v>
      </c>
      <c r="G73">
        <v>691.23599999999999</v>
      </c>
      <c r="J73" s="1">
        <v>42580</v>
      </c>
      <c r="K73">
        <v>163.20599999999999</v>
      </c>
      <c r="L73">
        <v>223.3931</v>
      </c>
      <c r="M73">
        <v>370.01220000000001</v>
      </c>
      <c r="N73">
        <v>588.78</v>
      </c>
      <c r="O73">
        <v>1209.23</v>
      </c>
      <c r="P73">
        <v>141.03800000000001</v>
      </c>
      <c r="Q73">
        <v>0.89490000000000003</v>
      </c>
      <c r="R73">
        <f t="shared" si="1"/>
        <v>565.57680000000005</v>
      </c>
      <c r="T73" s="1">
        <v>42490</v>
      </c>
      <c r="U73">
        <v>455.15</v>
      </c>
    </row>
    <row r="74" spans="1:21" x14ac:dyDescent="0.25">
      <c r="A74" s="1">
        <v>42613</v>
      </c>
      <c r="B74">
        <v>195.04580000000001</v>
      </c>
      <c r="C74">
        <v>511.38159999999999</v>
      </c>
      <c r="D74">
        <v>425.20260000000002</v>
      </c>
      <c r="E74">
        <v>572.41</v>
      </c>
      <c r="F74">
        <v>1308.97</v>
      </c>
      <c r="G74">
        <v>691.35900000000004</v>
      </c>
      <c r="J74" s="1">
        <v>42613</v>
      </c>
      <c r="K74">
        <v>164.416</v>
      </c>
      <c r="L74">
        <v>223.01480000000001</v>
      </c>
      <c r="M74">
        <v>377.03870000000001</v>
      </c>
      <c r="N74">
        <v>514.6</v>
      </c>
      <c r="O74">
        <v>1172.97</v>
      </c>
      <c r="P74">
        <v>140.97999999999999</v>
      </c>
      <c r="Q74">
        <v>0.8962</v>
      </c>
      <c r="R74">
        <f t="shared" si="1"/>
        <v>512.99384199999997</v>
      </c>
      <c r="T74" s="1">
        <v>42521</v>
      </c>
      <c r="U74">
        <v>521.74</v>
      </c>
    </row>
    <row r="75" spans="1:21" x14ac:dyDescent="0.25">
      <c r="A75" s="1">
        <v>42643</v>
      </c>
      <c r="B75">
        <v>196.24109999999999</v>
      </c>
      <c r="C75">
        <v>511.32049999999998</v>
      </c>
      <c r="D75">
        <v>428.1123</v>
      </c>
      <c r="E75">
        <v>605.99</v>
      </c>
      <c r="F75">
        <v>1315.87</v>
      </c>
      <c r="G75">
        <v>691.7</v>
      </c>
      <c r="J75" s="1">
        <v>42643</v>
      </c>
      <c r="K75">
        <v>163.94499999999999</v>
      </c>
      <c r="L75">
        <v>222.68809999999999</v>
      </c>
      <c r="M75">
        <v>379.09699999999998</v>
      </c>
      <c r="N75">
        <v>543.17999999999995</v>
      </c>
      <c r="O75">
        <v>1170.49</v>
      </c>
      <c r="P75">
        <v>140.922</v>
      </c>
      <c r="Q75">
        <v>0.8901</v>
      </c>
      <c r="R75">
        <f t="shared" si="1"/>
        <v>539.39169900000002</v>
      </c>
      <c r="T75" s="1">
        <v>42551</v>
      </c>
      <c r="U75">
        <v>665.27</v>
      </c>
    </row>
    <row r="76" spans="1:21" x14ac:dyDescent="0.25">
      <c r="A76" s="1">
        <v>42674</v>
      </c>
      <c r="B76">
        <v>192.91040000000001</v>
      </c>
      <c r="C76">
        <v>506.36270000000002</v>
      </c>
      <c r="D76">
        <v>429.07650000000001</v>
      </c>
      <c r="E76">
        <v>702.17</v>
      </c>
      <c r="F76">
        <v>1277.21</v>
      </c>
      <c r="G76">
        <v>691.87300000000005</v>
      </c>
      <c r="J76" s="1">
        <v>42674</v>
      </c>
      <c r="K76">
        <v>165.22</v>
      </c>
      <c r="L76">
        <v>220.13560000000001</v>
      </c>
      <c r="M76">
        <v>379.36380000000003</v>
      </c>
      <c r="N76">
        <v>640.41999999999996</v>
      </c>
      <c r="O76">
        <v>1163.1099999999999</v>
      </c>
      <c r="P76">
        <v>140.86500000000001</v>
      </c>
      <c r="Q76">
        <v>0.91069999999999995</v>
      </c>
      <c r="R76">
        <f t="shared" si="1"/>
        <v>639.46621899999991</v>
      </c>
      <c r="T76" s="1">
        <v>42582</v>
      </c>
      <c r="U76">
        <v>632</v>
      </c>
    </row>
    <row r="77" spans="1:21" x14ac:dyDescent="0.25">
      <c r="A77" s="1">
        <v>42704</v>
      </c>
      <c r="B77">
        <v>194.37639999999999</v>
      </c>
      <c r="C77">
        <v>497.99959999999999</v>
      </c>
      <c r="D77">
        <v>424.25259999999997</v>
      </c>
      <c r="E77">
        <v>743.26</v>
      </c>
      <c r="F77">
        <v>1173.2</v>
      </c>
      <c r="G77">
        <v>691.99400000000003</v>
      </c>
      <c r="J77" s="1">
        <v>42704</v>
      </c>
      <c r="K77">
        <v>172.03100000000001</v>
      </c>
      <c r="L77">
        <v>216.10380000000001</v>
      </c>
      <c r="M77">
        <v>374.43759999999997</v>
      </c>
      <c r="N77">
        <v>702.35</v>
      </c>
      <c r="O77">
        <v>1107.97</v>
      </c>
      <c r="P77">
        <v>140.791</v>
      </c>
      <c r="Q77">
        <v>0.94440000000000002</v>
      </c>
      <c r="R77">
        <f t="shared" si="1"/>
        <v>701.93474400000002</v>
      </c>
      <c r="T77" s="1">
        <v>42613</v>
      </c>
      <c r="U77">
        <v>572.41</v>
      </c>
    </row>
    <row r="78" spans="1:21" x14ac:dyDescent="0.25">
      <c r="A78" s="1">
        <v>42734</v>
      </c>
      <c r="B78">
        <v>198.5753</v>
      </c>
      <c r="C78">
        <v>499.36419999999998</v>
      </c>
      <c r="D78">
        <v>432.26260000000002</v>
      </c>
      <c r="E78">
        <v>952.01</v>
      </c>
      <c r="F78">
        <v>1147.5</v>
      </c>
      <c r="G78">
        <v>692.28800000000001</v>
      </c>
      <c r="J78" s="1">
        <v>42734</v>
      </c>
      <c r="K78">
        <v>176.755</v>
      </c>
      <c r="L78">
        <v>216.3014</v>
      </c>
      <c r="M78">
        <v>380.8494</v>
      </c>
      <c r="N78">
        <v>905.99</v>
      </c>
      <c r="O78">
        <v>1092.8</v>
      </c>
      <c r="P78">
        <v>140.71899999999999</v>
      </c>
      <c r="Q78">
        <v>0.9506</v>
      </c>
      <c r="R78">
        <f t="shared" si="1"/>
        <v>904.98070599999994</v>
      </c>
      <c r="T78" s="1">
        <v>42643</v>
      </c>
      <c r="U78">
        <v>605.99</v>
      </c>
    </row>
    <row r="79" spans="1:21" x14ac:dyDescent="0.25">
      <c r="A79" s="1">
        <v>42766</v>
      </c>
      <c r="B79">
        <v>204.005</v>
      </c>
      <c r="C79">
        <v>497.5453</v>
      </c>
      <c r="D79">
        <v>438.63170000000002</v>
      </c>
      <c r="E79">
        <v>961.69</v>
      </c>
      <c r="F79">
        <v>1210.72</v>
      </c>
      <c r="G79">
        <v>692.59500000000003</v>
      </c>
      <c r="J79" s="1">
        <v>42766</v>
      </c>
      <c r="K79">
        <v>177.22800000000001</v>
      </c>
      <c r="L79">
        <v>215.18270000000001</v>
      </c>
      <c r="M79">
        <v>385.73840000000001</v>
      </c>
      <c r="N79">
        <v>891.22</v>
      </c>
      <c r="O79">
        <v>1121.22</v>
      </c>
      <c r="P79">
        <v>140.608</v>
      </c>
      <c r="Q79">
        <v>0.92610000000000003</v>
      </c>
      <c r="R79">
        <f t="shared" si="1"/>
        <v>890.62110900000005</v>
      </c>
      <c r="T79" s="1">
        <v>42674</v>
      </c>
      <c r="U79">
        <v>702.17</v>
      </c>
    </row>
    <row r="80" spans="1:21" x14ac:dyDescent="0.25">
      <c r="A80" s="1">
        <v>42794</v>
      </c>
      <c r="B80">
        <v>209.7276</v>
      </c>
      <c r="C80">
        <v>501.80459999999999</v>
      </c>
      <c r="D80">
        <v>445.35039999999998</v>
      </c>
      <c r="E80">
        <v>1192.7</v>
      </c>
      <c r="F80">
        <v>1248.44</v>
      </c>
      <c r="G80">
        <v>692.88099999999997</v>
      </c>
      <c r="J80" s="1">
        <v>42794</v>
      </c>
      <c r="K80">
        <v>185.303</v>
      </c>
      <c r="L80">
        <v>216.82900000000001</v>
      </c>
      <c r="M80">
        <v>391.31970000000001</v>
      </c>
      <c r="N80">
        <v>1124.3599999999999</v>
      </c>
      <c r="O80">
        <v>1180.51</v>
      </c>
      <c r="P80">
        <v>140.54599999999999</v>
      </c>
      <c r="Q80">
        <v>0.94550000000000001</v>
      </c>
      <c r="R80">
        <f t="shared" si="1"/>
        <v>1127.69785</v>
      </c>
      <c r="T80" s="1">
        <v>42704</v>
      </c>
      <c r="U80">
        <v>743.26</v>
      </c>
    </row>
    <row r="81" spans="1:21" x14ac:dyDescent="0.25">
      <c r="A81" s="1">
        <v>42825</v>
      </c>
      <c r="B81">
        <v>212.29329999999999</v>
      </c>
      <c r="C81">
        <v>501.57310000000001</v>
      </c>
      <c r="D81">
        <v>445.24169999999998</v>
      </c>
      <c r="E81">
        <v>1074.69</v>
      </c>
      <c r="F81">
        <v>1249.2</v>
      </c>
      <c r="G81">
        <v>693.00099999999998</v>
      </c>
      <c r="J81" s="1">
        <v>42825</v>
      </c>
      <c r="K81">
        <v>186.351</v>
      </c>
      <c r="L81">
        <v>216.40809999999999</v>
      </c>
      <c r="M81">
        <v>390.64789999999999</v>
      </c>
      <c r="N81">
        <v>1001.51</v>
      </c>
      <c r="O81">
        <v>1172.52</v>
      </c>
      <c r="P81">
        <v>140.43</v>
      </c>
      <c r="Q81">
        <v>0.9385</v>
      </c>
      <c r="R81">
        <f t="shared" si="1"/>
        <v>1008.5965650000001</v>
      </c>
      <c r="T81" s="1">
        <v>42735</v>
      </c>
      <c r="U81">
        <v>952.01</v>
      </c>
    </row>
    <row r="82" spans="1:21" x14ac:dyDescent="0.25">
      <c r="A82" s="1">
        <v>42853</v>
      </c>
      <c r="B82">
        <v>215.6018</v>
      </c>
      <c r="C82">
        <v>504.97449999999998</v>
      </c>
      <c r="D82">
        <v>451.50659999999999</v>
      </c>
      <c r="E82">
        <v>1356.03</v>
      </c>
      <c r="F82">
        <v>1268.28</v>
      </c>
      <c r="G82">
        <v>693.46600000000001</v>
      </c>
      <c r="J82" s="1">
        <v>42853</v>
      </c>
      <c r="K82">
        <v>185.88300000000001</v>
      </c>
      <c r="L82">
        <v>217.56530000000001</v>
      </c>
      <c r="M82">
        <v>395.5496</v>
      </c>
      <c r="N82">
        <v>1186.74</v>
      </c>
      <c r="O82">
        <v>1163.8599999999999</v>
      </c>
      <c r="P82">
        <v>140.35599999999999</v>
      </c>
      <c r="Q82">
        <v>0.91779999999999995</v>
      </c>
      <c r="R82">
        <f t="shared" si="1"/>
        <v>1244.5643339999999</v>
      </c>
      <c r="T82" s="1">
        <v>42766</v>
      </c>
      <c r="U82">
        <v>961.69</v>
      </c>
    </row>
    <row r="83" spans="1:21" x14ac:dyDescent="0.25">
      <c r="A83" s="1">
        <v>42886</v>
      </c>
      <c r="B83">
        <v>220.3629</v>
      </c>
      <c r="C83">
        <v>507.92189999999999</v>
      </c>
      <c r="D83">
        <v>455.16359999999997</v>
      </c>
      <c r="E83">
        <v>2286.1</v>
      </c>
      <c r="F83">
        <v>1268.92</v>
      </c>
      <c r="G83">
        <v>693.81600000000003</v>
      </c>
      <c r="J83" s="1">
        <v>42886</v>
      </c>
      <c r="K83">
        <v>183.982</v>
      </c>
      <c r="L83">
        <v>218.46610000000001</v>
      </c>
      <c r="M83">
        <v>398.08940000000001</v>
      </c>
      <c r="N83">
        <v>2053.7600000000002</v>
      </c>
      <c r="O83">
        <v>1128.6099999999999</v>
      </c>
      <c r="P83">
        <v>140.256</v>
      </c>
      <c r="Q83">
        <v>0.88939999999999997</v>
      </c>
      <c r="R83">
        <f t="shared" si="1"/>
        <v>2033.2573399999999</v>
      </c>
      <c r="T83" s="1">
        <v>42794</v>
      </c>
      <c r="U83">
        <v>1192.7</v>
      </c>
    </row>
    <row r="84" spans="1:21" x14ac:dyDescent="0.25">
      <c r="A84" s="1">
        <v>42916</v>
      </c>
      <c r="B84">
        <v>221.36500000000001</v>
      </c>
      <c r="C84">
        <v>506.50029999999998</v>
      </c>
      <c r="D84">
        <v>455.01780000000002</v>
      </c>
      <c r="E84">
        <v>2502.5</v>
      </c>
      <c r="F84">
        <v>1241.6099999999999</v>
      </c>
      <c r="G84">
        <v>694.4</v>
      </c>
      <c r="J84" s="1">
        <v>42916</v>
      </c>
      <c r="K84">
        <v>182.21799999999999</v>
      </c>
      <c r="L84">
        <v>217.5035</v>
      </c>
      <c r="M84">
        <v>397.31939999999997</v>
      </c>
      <c r="N84">
        <v>2200.15</v>
      </c>
      <c r="O84">
        <v>1086.51</v>
      </c>
      <c r="P84">
        <v>140.14400000000001</v>
      </c>
      <c r="Q84">
        <v>0.87519999999999998</v>
      </c>
      <c r="R84">
        <f t="shared" si="1"/>
        <v>2190.1880000000001</v>
      </c>
      <c r="T84" s="1">
        <v>42825</v>
      </c>
      <c r="U84">
        <v>1074.69</v>
      </c>
    </row>
    <row r="85" spans="1:21" x14ac:dyDescent="0.25">
      <c r="A85" s="1">
        <v>42947</v>
      </c>
      <c r="B85">
        <v>227.5514</v>
      </c>
      <c r="C85">
        <v>508.16539999999998</v>
      </c>
      <c r="D85">
        <v>459.51580000000001</v>
      </c>
      <c r="E85">
        <v>2886.71</v>
      </c>
      <c r="F85">
        <v>1269.44</v>
      </c>
      <c r="G85">
        <v>694.99099999999999</v>
      </c>
      <c r="J85" s="1">
        <v>42947</v>
      </c>
      <c r="K85">
        <v>181.202</v>
      </c>
      <c r="L85">
        <v>217.8407</v>
      </c>
      <c r="M85">
        <v>400.50389999999999</v>
      </c>
      <c r="N85">
        <v>2472.9699999999998</v>
      </c>
      <c r="O85">
        <v>1071.95</v>
      </c>
      <c r="P85">
        <v>140.05500000000001</v>
      </c>
      <c r="Q85">
        <v>0.84450000000000003</v>
      </c>
      <c r="R85">
        <f t="shared" si="1"/>
        <v>2437.826595</v>
      </c>
      <c r="T85" s="1">
        <v>42855</v>
      </c>
      <c r="U85">
        <v>1356.03</v>
      </c>
    </row>
    <row r="86" spans="1:21" x14ac:dyDescent="0.25">
      <c r="A86" s="1">
        <v>42978</v>
      </c>
      <c r="B86">
        <v>228.42320000000001</v>
      </c>
      <c r="C86">
        <v>512.79639999999995</v>
      </c>
      <c r="D86">
        <v>462.1748</v>
      </c>
      <c r="E86">
        <v>4741.3900000000003</v>
      </c>
      <c r="F86">
        <v>1321.43</v>
      </c>
      <c r="G86">
        <v>695.64200000000005</v>
      </c>
      <c r="J86" s="1">
        <v>42978</v>
      </c>
      <c r="K86">
        <v>180.381</v>
      </c>
      <c r="L86">
        <v>219.4297</v>
      </c>
      <c r="M86">
        <v>402.1112</v>
      </c>
      <c r="N86">
        <v>3994.57</v>
      </c>
      <c r="O86">
        <v>1109.48</v>
      </c>
      <c r="P86">
        <v>139.99100000000001</v>
      </c>
      <c r="Q86">
        <v>0.8397</v>
      </c>
      <c r="R86">
        <f t="shared" si="1"/>
        <v>3981.3451830000004</v>
      </c>
      <c r="T86" s="1">
        <v>42886</v>
      </c>
      <c r="U86">
        <v>2286.1</v>
      </c>
    </row>
    <row r="87" spans="1:21" x14ac:dyDescent="0.25">
      <c r="A87" s="1">
        <v>43007</v>
      </c>
      <c r="B87">
        <v>232.83629999999999</v>
      </c>
      <c r="C87">
        <v>510.42919999999998</v>
      </c>
      <c r="D87">
        <v>465.4187</v>
      </c>
      <c r="E87">
        <v>4171.25</v>
      </c>
      <c r="F87">
        <v>1279.75</v>
      </c>
      <c r="G87">
        <v>696.23800000000006</v>
      </c>
      <c r="J87" s="1">
        <v>43007</v>
      </c>
      <c r="K87">
        <v>184.90799999999999</v>
      </c>
      <c r="L87">
        <v>218.05459999999999</v>
      </c>
      <c r="M87">
        <v>404.29079999999999</v>
      </c>
      <c r="N87">
        <v>3522.85</v>
      </c>
      <c r="O87">
        <v>1083.49</v>
      </c>
      <c r="P87">
        <v>139.90600000000001</v>
      </c>
      <c r="Q87">
        <v>0.84640000000000004</v>
      </c>
      <c r="R87">
        <f t="shared" si="1"/>
        <v>3530.5460000000003</v>
      </c>
      <c r="T87" s="1">
        <v>42916</v>
      </c>
      <c r="U87">
        <v>2502.5</v>
      </c>
    </row>
    <row r="88" spans="1:21" x14ac:dyDescent="0.25">
      <c r="A88" s="1">
        <v>43039</v>
      </c>
      <c r="B88">
        <v>237.6712</v>
      </c>
      <c r="C88">
        <v>512.58199999999999</v>
      </c>
      <c r="D88">
        <v>468.42239999999998</v>
      </c>
      <c r="E88">
        <v>6377.45</v>
      </c>
      <c r="F88">
        <v>1271.45</v>
      </c>
      <c r="G88">
        <v>696.86</v>
      </c>
      <c r="J88" s="1">
        <v>43039</v>
      </c>
      <c r="K88">
        <v>191.54300000000001</v>
      </c>
      <c r="L88">
        <v>218.6216</v>
      </c>
      <c r="M88">
        <v>406.24329999999998</v>
      </c>
      <c r="N88">
        <v>5482.1</v>
      </c>
      <c r="O88">
        <v>1091.67</v>
      </c>
      <c r="P88">
        <v>139.81200000000001</v>
      </c>
      <c r="Q88">
        <v>0.85870000000000002</v>
      </c>
      <c r="R88">
        <f t="shared" si="1"/>
        <v>5476.316315</v>
      </c>
      <c r="T88" s="1">
        <v>42947</v>
      </c>
      <c r="U88">
        <v>2886.71</v>
      </c>
    </row>
    <row r="89" spans="1:21" x14ac:dyDescent="0.25">
      <c r="A89" s="1">
        <v>43069</v>
      </c>
      <c r="B89">
        <v>242.27209999999999</v>
      </c>
      <c r="C89">
        <v>513.37609999999995</v>
      </c>
      <c r="D89">
        <v>466.81180000000001</v>
      </c>
      <c r="E89">
        <v>9653.93</v>
      </c>
      <c r="F89">
        <v>1275.01</v>
      </c>
      <c r="G89">
        <v>697.43899999999996</v>
      </c>
      <c r="J89" s="1">
        <v>43069</v>
      </c>
      <c r="K89">
        <v>190.76400000000001</v>
      </c>
      <c r="L89">
        <v>218.5984</v>
      </c>
      <c r="M89">
        <v>404.24110000000002</v>
      </c>
      <c r="N89">
        <v>8259.1</v>
      </c>
      <c r="O89">
        <v>1071.4000000000001</v>
      </c>
      <c r="P89">
        <v>139.74199999999999</v>
      </c>
      <c r="Q89">
        <v>0.84009999999999996</v>
      </c>
      <c r="R89">
        <f t="shared" si="1"/>
        <v>8110.2665930000003</v>
      </c>
      <c r="T89" s="1">
        <v>42978</v>
      </c>
      <c r="U89">
        <v>4741.3900000000003</v>
      </c>
    </row>
    <row r="90" spans="1:21" x14ac:dyDescent="0.25">
      <c r="A90" s="1">
        <v>43098</v>
      </c>
      <c r="B90">
        <v>246.178</v>
      </c>
      <c r="C90">
        <v>514.52369999999996</v>
      </c>
      <c r="D90">
        <v>468.64280000000002</v>
      </c>
      <c r="E90">
        <v>14043.06</v>
      </c>
      <c r="F90">
        <v>1302.8</v>
      </c>
      <c r="G90">
        <v>698.21500000000003</v>
      </c>
      <c r="J90" s="1">
        <v>43098</v>
      </c>
      <c r="K90">
        <v>192.47499999999999</v>
      </c>
      <c r="L90">
        <v>218.59289999999999</v>
      </c>
      <c r="M90">
        <v>404.91430000000003</v>
      </c>
      <c r="N90">
        <v>12321.55</v>
      </c>
      <c r="O90">
        <v>1084.71</v>
      </c>
      <c r="P90">
        <v>139.649</v>
      </c>
      <c r="Q90">
        <v>0.83299999999999996</v>
      </c>
      <c r="R90">
        <f t="shared" si="1"/>
        <v>11697.868979999999</v>
      </c>
      <c r="T90" s="1">
        <v>43008</v>
      </c>
      <c r="U90">
        <v>4171.25</v>
      </c>
    </row>
    <row r="91" spans="1:21" x14ac:dyDescent="0.25">
      <c r="A91" s="1">
        <v>43131</v>
      </c>
      <c r="B91">
        <v>260.06650000000002</v>
      </c>
      <c r="C91">
        <v>510.85059999999999</v>
      </c>
      <c r="D91">
        <v>471.09930000000003</v>
      </c>
      <c r="E91">
        <v>9962.31</v>
      </c>
      <c r="F91">
        <v>1345.14</v>
      </c>
      <c r="G91">
        <v>699.048</v>
      </c>
      <c r="J91" s="1">
        <v>43131</v>
      </c>
      <c r="K91">
        <v>195.99700000000001</v>
      </c>
      <c r="L91">
        <v>216.68809999999999</v>
      </c>
      <c r="M91">
        <v>406.25330000000002</v>
      </c>
      <c r="N91">
        <v>8018.04</v>
      </c>
      <c r="O91">
        <v>1083.6400000000001</v>
      </c>
      <c r="P91">
        <v>139.54900000000001</v>
      </c>
      <c r="Q91">
        <v>0.80559999999999998</v>
      </c>
      <c r="R91">
        <f t="shared" si="1"/>
        <v>8025.636935999999</v>
      </c>
      <c r="T91" s="1">
        <v>43039</v>
      </c>
      <c r="U91">
        <v>6377.45</v>
      </c>
    </row>
    <row r="92" spans="1:21" x14ac:dyDescent="0.25">
      <c r="A92" s="1">
        <v>43159</v>
      </c>
      <c r="B92">
        <v>249.14420000000001</v>
      </c>
      <c r="C92">
        <v>509.69880000000001</v>
      </c>
      <c r="D92">
        <v>466.58359999999999</v>
      </c>
      <c r="E92">
        <v>10538.02</v>
      </c>
      <c r="F92">
        <v>1318.31</v>
      </c>
      <c r="G92">
        <v>699.70899999999995</v>
      </c>
      <c r="J92" s="1">
        <v>43159</v>
      </c>
      <c r="K92">
        <v>191.78399999999999</v>
      </c>
      <c r="L92">
        <v>215.79730000000001</v>
      </c>
      <c r="M92">
        <v>401.51949999999999</v>
      </c>
      <c r="N92">
        <v>8639.33</v>
      </c>
      <c r="O92">
        <v>1081.1099999999999</v>
      </c>
      <c r="P92">
        <v>139.435</v>
      </c>
      <c r="Q92">
        <v>0.82010000000000005</v>
      </c>
      <c r="R92">
        <f t="shared" si="1"/>
        <v>8642.2302020000006</v>
      </c>
      <c r="T92" s="1">
        <v>43069</v>
      </c>
      <c r="U92">
        <v>9653.93</v>
      </c>
    </row>
    <row r="93" spans="1:21" x14ac:dyDescent="0.25">
      <c r="A93" s="1">
        <v>43189</v>
      </c>
      <c r="B93">
        <v>243.8108</v>
      </c>
      <c r="C93">
        <v>513.92470000000003</v>
      </c>
      <c r="D93">
        <v>465.31020000000001</v>
      </c>
      <c r="E93">
        <v>6852.51</v>
      </c>
      <c r="F93">
        <v>1325.48</v>
      </c>
      <c r="G93">
        <v>700.69</v>
      </c>
      <c r="J93" s="1">
        <v>43189</v>
      </c>
      <c r="K93">
        <v>186.12200000000001</v>
      </c>
      <c r="L93">
        <v>217.03700000000001</v>
      </c>
      <c r="M93">
        <v>399.44119999999998</v>
      </c>
      <c r="N93">
        <v>5548.25</v>
      </c>
      <c r="O93">
        <v>1075.26</v>
      </c>
      <c r="P93">
        <v>139.35400000000001</v>
      </c>
      <c r="Q93">
        <v>0.81140000000000001</v>
      </c>
      <c r="R93">
        <f t="shared" si="1"/>
        <v>5560.1266140000007</v>
      </c>
      <c r="T93" s="1">
        <v>43100</v>
      </c>
      <c r="U93">
        <v>14043.06</v>
      </c>
    </row>
    <row r="94" spans="1:21" x14ac:dyDescent="0.25">
      <c r="A94" s="1">
        <v>43220</v>
      </c>
      <c r="B94">
        <v>246.13910000000001</v>
      </c>
      <c r="C94">
        <v>512.01250000000005</v>
      </c>
      <c r="D94">
        <v>465.94850000000002</v>
      </c>
      <c r="E94">
        <v>9272.7000000000007</v>
      </c>
      <c r="F94">
        <v>1315.39</v>
      </c>
      <c r="G94">
        <v>701.60599999999999</v>
      </c>
      <c r="J94" s="1">
        <v>43220</v>
      </c>
      <c r="K94">
        <v>191.26599999999999</v>
      </c>
      <c r="L94">
        <v>215.7413</v>
      </c>
      <c r="M94">
        <v>399.11399999999998</v>
      </c>
      <c r="N94">
        <v>7670.07</v>
      </c>
      <c r="O94">
        <v>1088.93</v>
      </c>
      <c r="P94">
        <v>139.28100000000001</v>
      </c>
      <c r="Q94">
        <v>0.82789999999999997</v>
      </c>
      <c r="R94">
        <f t="shared" si="1"/>
        <v>7676.8683300000002</v>
      </c>
      <c r="T94" s="1">
        <v>43131</v>
      </c>
      <c r="U94">
        <v>9962.31</v>
      </c>
    </row>
    <row r="95" spans="1:21" x14ac:dyDescent="0.25">
      <c r="A95" s="1">
        <v>43251</v>
      </c>
      <c r="B95">
        <v>246.44640000000001</v>
      </c>
      <c r="C95">
        <v>513.92539999999997</v>
      </c>
      <c r="D95">
        <v>462.01159999999999</v>
      </c>
      <c r="E95">
        <v>7538.28</v>
      </c>
      <c r="F95">
        <v>1298.51</v>
      </c>
      <c r="G95">
        <v>702.67700000000002</v>
      </c>
      <c r="J95" s="1">
        <v>43251</v>
      </c>
      <c r="K95">
        <v>198.215</v>
      </c>
      <c r="L95">
        <v>216.0633</v>
      </c>
      <c r="M95">
        <v>394.64909999999998</v>
      </c>
      <c r="N95">
        <v>6458.94</v>
      </c>
      <c r="O95">
        <v>1110.5999999999999</v>
      </c>
      <c r="P95">
        <v>139.19499999999999</v>
      </c>
      <c r="Q95">
        <v>0.85529999999999995</v>
      </c>
      <c r="R95">
        <f t="shared" si="1"/>
        <v>6447.4908839999998</v>
      </c>
      <c r="T95" s="1">
        <v>43159</v>
      </c>
      <c r="U95">
        <v>10538.02</v>
      </c>
    </row>
    <row r="96" spans="1:21" x14ac:dyDescent="0.25">
      <c r="A96" s="1">
        <v>43280</v>
      </c>
      <c r="B96">
        <v>245.11179999999999</v>
      </c>
      <c r="C96">
        <v>514.88329999999996</v>
      </c>
      <c r="D96">
        <v>460.1918</v>
      </c>
      <c r="E96">
        <v>5899.64</v>
      </c>
      <c r="F96">
        <v>1252.5999999999999</v>
      </c>
      <c r="G96">
        <v>703.85900000000004</v>
      </c>
      <c r="J96" s="1">
        <v>43280</v>
      </c>
      <c r="K96">
        <v>197.09899999999999</v>
      </c>
      <c r="L96">
        <v>215.93899999999999</v>
      </c>
      <c r="M96">
        <v>392.12909999999999</v>
      </c>
      <c r="N96">
        <v>5052.54</v>
      </c>
      <c r="O96">
        <v>1072.17</v>
      </c>
      <c r="P96">
        <v>139.125</v>
      </c>
      <c r="Q96">
        <v>0.85580000000000001</v>
      </c>
      <c r="R96">
        <f t="shared" si="1"/>
        <v>5048.9119120000005</v>
      </c>
      <c r="T96" s="1">
        <v>43190</v>
      </c>
      <c r="U96">
        <v>6852.51</v>
      </c>
    </row>
    <row r="97" spans="1:21" x14ac:dyDescent="0.25">
      <c r="A97" s="1">
        <v>43312</v>
      </c>
      <c r="B97">
        <v>252.5035</v>
      </c>
      <c r="C97">
        <v>515.02440000000001</v>
      </c>
      <c r="D97">
        <v>467.88459999999998</v>
      </c>
      <c r="E97">
        <v>7689.43</v>
      </c>
      <c r="F97">
        <v>1224.1500000000001</v>
      </c>
      <c r="G97">
        <v>704.96199999999999</v>
      </c>
      <c r="J97" s="1">
        <v>43312</v>
      </c>
      <c r="K97">
        <v>202.60900000000001</v>
      </c>
      <c r="L97">
        <v>215.51419999999999</v>
      </c>
      <c r="M97">
        <v>397.7919</v>
      </c>
      <c r="N97">
        <v>6577.48</v>
      </c>
      <c r="O97">
        <v>1047.1600000000001</v>
      </c>
      <c r="P97">
        <v>139.05099999999999</v>
      </c>
      <c r="Q97">
        <v>0.85540000000000005</v>
      </c>
      <c r="R97">
        <f t="shared" si="1"/>
        <v>6577.5384220000005</v>
      </c>
      <c r="T97" s="1">
        <v>43220</v>
      </c>
      <c r="U97">
        <v>9272.7000000000007</v>
      </c>
    </row>
    <row r="98" spans="1:21" x14ac:dyDescent="0.25">
      <c r="A98" s="1">
        <v>43343</v>
      </c>
      <c r="B98">
        <v>254.4873</v>
      </c>
      <c r="C98">
        <v>516.60720000000003</v>
      </c>
      <c r="D98">
        <v>463.73270000000002</v>
      </c>
      <c r="E98">
        <v>7044.6</v>
      </c>
      <c r="F98">
        <v>1201.1500000000001</v>
      </c>
      <c r="G98">
        <v>706.23299999999995</v>
      </c>
      <c r="J98" s="1">
        <v>43343</v>
      </c>
      <c r="K98">
        <v>205.351</v>
      </c>
      <c r="L98">
        <v>215.66409999999999</v>
      </c>
      <c r="M98">
        <v>393.2801</v>
      </c>
      <c r="N98">
        <v>6064.51</v>
      </c>
      <c r="O98">
        <v>1036.5</v>
      </c>
      <c r="P98">
        <v>138.97399999999999</v>
      </c>
      <c r="Q98">
        <v>0.86199999999999999</v>
      </c>
      <c r="R98">
        <f t="shared" si="1"/>
        <v>6072.4452000000001</v>
      </c>
      <c r="T98" s="1">
        <v>43251</v>
      </c>
      <c r="U98">
        <v>7538.28</v>
      </c>
    </row>
    <row r="99" spans="1:21" x14ac:dyDescent="0.25">
      <c r="A99" s="1">
        <v>43371</v>
      </c>
      <c r="B99">
        <v>255.5949</v>
      </c>
      <c r="C99">
        <v>514.63099999999997</v>
      </c>
      <c r="D99">
        <v>470.34930000000003</v>
      </c>
      <c r="E99">
        <v>6561.3</v>
      </c>
      <c r="F99">
        <v>1190.8800000000001</v>
      </c>
      <c r="G99">
        <v>707.31799999999998</v>
      </c>
      <c r="J99" s="1">
        <v>43371</v>
      </c>
      <c r="K99">
        <v>206.6</v>
      </c>
      <c r="L99">
        <v>214.35579999999999</v>
      </c>
      <c r="M99">
        <v>398.01870000000002</v>
      </c>
      <c r="N99">
        <v>5733.1</v>
      </c>
      <c r="O99">
        <v>1027.73</v>
      </c>
      <c r="P99">
        <v>138.90799999999999</v>
      </c>
      <c r="Q99">
        <v>0.86170000000000002</v>
      </c>
      <c r="R99">
        <f t="shared" si="1"/>
        <v>5653.8722100000005</v>
      </c>
      <c r="T99" s="1">
        <v>43281</v>
      </c>
      <c r="U99">
        <v>5899.64</v>
      </c>
    </row>
    <row r="100" spans="1:21" x14ac:dyDescent="0.25">
      <c r="A100" s="1">
        <v>43404</v>
      </c>
      <c r="B100">
        <v>236.4409</v>
      </c>
      <c r="C100">
        <v>513.62540000000001</v>
      </c>
      <c r="D100">
        <v>463.95339999999999</v>
      </c>
      <c r="E100">
        <v>6302.4</v>
      </c>
      <c r="F100">
        <v>1214.76</v>
      </c>
      <c r="G100">
        <v>708.54100000000005</v>
      </c>
      <c r="J100" s="1">
        <v>43404</v>
      </c>
      <c r="K100">
        <v>195.916</v>
      </c>
      <c r="L100">
        <v>213.39330000000001</v>
      </c>
      <c r="M100">
        <v>391.45249999999999</v>
      </c>
      <c r="N100">
        <v>5576.14</v>
      </c>
      <c r="O100">
        <v>1073.8599999999999</v>
      </c>
      <c r="P100">
        <v>138.88399999999999</v>
      </c>
      <c r="Q100">
        <v>0.88400000000000001</v>
      </c>
      <c r="R100">
        <f t="shared" si="1"/>
        <v>5571.3215999999993</v>
      </c>
      <c r="T100" s="1">
        <v>43312</v>
      </c>
      <c r="U100">
        <v>7689.43</v>
      </c>
    </row>
    <row r="101" spans="1:21" x14ac:dyDescent="0.25">
      <c r="A101" s="1">
        <v>43434</v>
      </c>
      <c r="B101">
        <v>239.8989</v>
      </c>
      <c r="C101">
        <v>516.13840000000005</v>
      </c>
      <c r="D101">
        <v>459.77010000000001</v>
      </c>
      <c r="E101">
        <v>3930.38</v>
      </c>
      <c r="F101">
        <v>1220.52</v>
      </c>
      <c r="G101">
        <v>709.995</v>
      </c>
      <c r="J101" s="1">
        <v>43434</v>
      </c>
      <c r="K101">
        <v>198.922</v>
      </c>
      <c r="L101">
        <v>213.9264</v>
      </c>
      <c r="M101">
        <v>386.98009999999999</v>
      </c>
      <c r="N101">
        <v>3479.95</v>
      </c>
      <c r="O101">
        <v>1079.23</v>
      </c>
      <c r="P101">
        <v>138.77500000000001</v>
      </c>
      <c r="Q101">
        <v>0.88349999999999995</v>
      </c>
      <c r="R101">
        <f t="shared" si="1"/>
        <v>3472.49073</v>
      </c>
      <c r="T101" s="1">
        <v>43343</v>
      </c>
      <c r="U101">
        <v>7044.6</v>
      </c>
    </row>
    <row r="102" spans="1:21" x14ac:dyDescent="0.25">
      <c r="A102" s="1">
        <v>43465</v>
      </c>
      <c r="B102">
        <v>223.0018</v>
      </c>
      <c r="C102">
        <v>523.59379999999999</v>
      </c>
      <c r="D102">
        <v>455.8972</v>
      </c>
      <c r="E102">
        <v>3674.18</v>
      </c>
      <c r="F102">
        <v>1282.49</v>
      </c>
      <c r="G102">
        <v>711.30200000000002</v>
      </c>
      <c r="J102" s="1">
        <v>43465</v>
      </c>
      <c r="K102">
        <v>183.14500000000001</v>
      </c>
      <c r="L102">
        <v>216.316</v>
      </c>
      <c r="M102">
        <v>382.53910000000002</v>
      </c>
      <c r="N102">
        <v>3221.01</v>
      </c>
      <c r="O102">
        <v>1118.42</v>
      </c>
      <c r="P102">
        <v>138.673</v>
      </c>
      <c r="Q102">
        <v>0.87219999999999998</v>
      </c>
      <c r="R102">
        <f t="shared" si="1"/>
        <v>3204.619796</v>
      </c>
      <c r="T102" s="1">
        <v>43373</v>
      </c>
      <c r="U102">
        <v>6561.3</v>
      </c>
    </row>
    <row r="103" spans="1:21" x14ac:dyDescent="0.25">
      <c r="A103" s="1">
        <v>43496</v>
      </c>
      <c r="B103">
        <v>240.60990000000001</v>
      </c>
      <c r="C103">
        <v>529.13969999999995</v>
      </c>
      <c r="D103">
        <v>475.5625</v>
      </c>
      <c r="E103">
        <v>3417.04</v>
      </c>
      <c r="F103">
        <v>1321.25</v>
      </c>
      <c r="G103">
        <v>712.70399999999995</v>
      </c>
      <c r="J103" s="1">
        <v>43496</v>
      </c>
      <c r="K103">
        <v>196.86799999999999</v>
      </c>
      <c r="L103">
        <v>218.02250000000001</v>
      </c>
      <c r="M103">
        <v>397.96300000000002</v>
      </c>
      <c r="N103">
        <v>2986.16</v>
      </c>
      <c r="O103">
        <v>1154.3800000000001</v>
      </c>
      <c r="P103">
        <v>138.60400000000001</v>
      </c>
      <c r="Q103">
        <v>0.87360000000000004</v>
      </c>
      <c r="R103">
        <f t="shared" si="1"/>
        <v>2985.1261440000003</v>
      </c>
      <c r="T103" s="1">
        <v>43404</v>
      </c>
      <c r="U103">
        <v>6302.4</v>
      </c>
    </row>
    <row r="104" spans="1:21" x14ac:dyDescent="0.25">
      <c r="A104" s="1">
        <v>43524</v>
      </c>
      <c r="B104">
        <v>247.0455</v>
      </c>
      <c r="C104">
        <v>529.77549999999997</v>
      </c>
      <c r="D104">
        <v>482.79559999999998</v>
      </c>
      <c r="E104">
        <v>3802.53</v>
      </c>
      <c r="F104">
        <v>1313.32</v>
      </c>
      <c r="G104">
        <v>713.97299999999996</v>
      </c>
      <c r="J104" s="1">
        <v>43524</v>
      </c>
      <c r="K104">
        <v>203.68700000000001</v>
      </c>
      <c r="L104">
        <v>217.7671</v>
      </c>
      <c r="M104">
        <v>403.1044</v>
      </c>
      <c r="N104">
        <v>3348.27</v>
      </c>
      <c r="O104">
        <v>1155.03</v>
      </c>
      <c r="P104">
        <v>138.518</v>
      </c>
      <c r="Q104">
        <v>0.87939999999999996</v>
      </c>
      <c r="R104">
        <f t="shared" si="1"/>
        <v>3343.9448820000002</v>
      </c>
      <c r="T104" s="1">
        <v>43434</v>
      </c>
      <c r="U104">
        <v>3930.38</v>
      </c>
    </row>
    <row r="105" spans="1:21" x14ac:dyDescent="0.25">
      <c r="A105" s="1">
        <v>43553</v>
      </c>
      <c r="B105">
        <v>250.1524</v>
      </c>
      <c r="C105">
        <v>539.26400000000001</v>
      </c>
      <c r="D105">
        <v>486.4486</v>
      </c>
      <c r="E105">
        <v>4092.97</v>
      </c>
      <c r="F105">
        <v>1292.3800000000001</v>
      </c>
      <c r="G105">
        <v>715.56700000000001</v>
      </c>
      <c r="J105" s="1">
        <v>43553</v>
      </c>
      <c r="K105">
        <v>209.16</v>
      </c>
      <c r="L105">
        <v>221.1465</v>
      </c>
      <c r="M105">
        <v>405.11160000000001</v>
      </c>
      <c r="N105">
        <v>3633.75</v>
      </c>
      <c r="O105">
        <v>1152.05</v>
      </c>
      <c r="P105">
        <v>138.494</v>
      </c>
      <c r="Q105">
        <v>0.89139999999999997</v>
      </c>
      <c r="R105">
        <f t="shared" si="1"/>
        <v>3648.4734579999995</v>
      </c>
      <c r="T105" s="1">
        <v>43465</v>
      </c>
      <c r="U105">
        <v>3674.18</v>
      </c>
    </row>
    <row r="106" spans="1:21" x14ac:dyDescent="0.25">
      <c r="A106" s="1">
        <v>43585</v>
      </c>
      <c r="B106">
        <v>258.59890000000001</v>
      </c>
      <c r="C106">
        <v>539.58529999999996</v>
      </c>
      <c r="D106">
        <v>490.90039999999999</v>
      </c>
      <c r="E106">
        <v>5237.87</v>
      </c>
      <c r="F106">
        <v>1283.53</v>
      </c>
      <c r="G106">
        <v>716.91300000000001</v>
      </c>
      <c r="J106" s="1">
        <v>43585</v>
      </c>
      <c r="K106">
        <v>216.63800000000001</v>
      </c>
      <c r="L106">
        <v>220.71799999999999</v>
      </c>
      <c r="M106">
        <v>407.79450000000003</v>
      </c>
      <c r="N106">
        <v>4676.0200000000004</v>
      </c>
      <c r="O106">
        <v>1144.56</v>
      </c>
      <c r="P106">
        <v>138.42500000000001</v>
      </c>
      <c r="Q106">
        <v>0.89170000000000005</v>
      </c>
      <c r="R106">
        <f t="shared" si="1"/>
        <v>4670.6086789999999</v>
      </c>
      <c r="T106" s="1">
        <v>43496</v>
      </c>
      <c r="U106">
        <v>3417.04</v>
      </c>
    </row>
    <row r="107" spans="1:21" x14ac:dyDescent="0.25">
      <c r="A107" s="1">
        <v>43616</v>
      </c>
      <c r="B107">
        <v>243.25909999999999</v>
      </c>
      <c r="C107">
        <v>547.34960000000001</v>
      </c>
      <c r="D107">
        <v>486.76389999999998</v>
      </c>
      <c r="E107">
        <v>8503.3799999999992</v>
      </c>
      <c r="F107">
        <v>1305.58</v>
      </c>
      <c r="G107">
        <v>718.54899999999998</v>
      </c>
      <c r="J107" s="1">
        <v>43616</v>
      </c>
      <c r="K107">
        <v>204.94800000000001</v>
      </c>
      <c r="L107">
        <v>223.31649999999999</v>
      </c>
      <c r="M107">
        <v>403.22949999999997</v>
      </c>
      <c r="N107">
        <v>7624.97</v>
      </c>
      <c r="O107">
        <v>1168.9100000000001</v>
      </c>
      <c r="P107">
        <v>138.34100000000001</v>
      </c>
      <c r="Q107">
        <v>0.89539999999999997</v>
      </c>
      <c r="R107">
        <f t="shared" si="1"/>
        <v>7613.9264519999988</v>
      </c>
      <c r="T107" s="1">
        <v>43524</v>
      </c>
      <c r="U107">
        <v>3802.53</v>
      </c>
    </row>
    <row r="108" spans="1:21" x14ac:dyDescent="0.25">
      <c r="A108" s="1">
        <v>43644</v>
      </c>
      <c r="B108">
        <v>259.18759999999997</v>
      </c>
      <c r="C108">
        <v>555.02449999999999</v>
      </c>
      <c r="D108">
        <v>500.73110000000003</v>
      </c>
      <c r="E108">
        <v>11392.98</v>
      </c>
      <c r="F108">
        <v>1409.55</v>
      </c>
      <c r="G108">
        <v>720.13900000000001</v>
      </c>
      <c r="J108" s="1">
        <v>43644</v>
      </c>
      <c r="K108">
        <v>213.68</v>
      </c>
      <c r="L108">
        <v>225.80279999999999</v>
      </c>
      <c r="M108">
        <v>413.5342</v>
      </c>
      <c r="N108">
        <v>10741.69</v>
      </c>
      <c r="O108">
        <v>1239.1500000000001</v>
      </c>
      <c r="P108">
        <v>138.309</v>
      </c>
      <c r="Q108">
        <v>0.87929999999999997</v>
      </c>
      <c r="R108">
        <f t="shared" si="1"/>
        <v>10017.847313999999</v>
      </c>
      <c r="T108" s="1">
        <v>43555</v>
      </c>
      <c r="U108">
        <v>4092.97</v>
      </c>
    </row>
    <row r="109" spans="1:21" x14ac:dyDescent="0.25">
      <c r="A109" s="1">
        <v>43677</v>
      </c>
      <c r="B109">
        <v>259.94709999999998</v>
      </c>
      <c r="C109">
        <v>559.39179999999999</v>
      </c>
      <c r="D109">
        <v>505.09820000000002</v>
      </c>
      <c r="E109">
        <v>10026.61</v>
      </c>
      <c r="F109">
        <v>1413.78</v>
      </c>
      <c r="G109">
        <v>721.44500000000005</v>
      </c>
      <c r="J109" s="1">
        <v>43677</v>
      </c>
      <c r="K109">
        <v>219.19499999999999</v>
      </c>
      <c r="L109">
        <v>227.03639999999999</v>
      </c>
      <c r="M109">
        <v>416.11970000000002</v>
      </c>
      <c r="N109">
        <v>9050.06</v>
      </c>
      <c r="O109">
        <v>1276.46</v>
      </c>
      <c r="P109">
        <v>138.26300000000001</v>
      </c>
      <c r="Q109">
        <v>0.90280000000000005</v>
      </c>
      <c r="R109">
        <f t="shared" si="1"/>
        <v>9052.0235080000002</v>
      </c>
      <c r="T109" s="1">
        <v>43585</v>
      </c>
      <c r="U109">
        <v>5237.87</v>
      </c>
    </row>
    <row r="110" spans="1:21" x14ac:dyDescent="0.25">
      <c r="A110" s="1">
        <v>43707</v>
      </c>
      <c r="B110">
        <v>253.78049999999999</v>
      </c>
      <c r="C110">
        <v>572.0779</v>
      </c>
      <c r="D110">
        <v>498.27850000000001</v>
      </c>
      <c r="E110">
        <v>9626.18</v>
      </c>
      <c r="F110">
        <v>1520.38</v>
      </c>
      <c r="G110">
        <v>722.92499999999995</v>
      </c>
      <c r="J110" s="1">
        <v>43707</v>
      </c>
      <c r="K110">
        <v>216.35599999999999</v>
      </c>
      <c r="L110">
        <v>231.6696</v>
      </c>
      <c r="M110">
        <v>409.37079999999997</v>
      </c>
      <c r="N110">
        <v>8773.01</v>
      </c>
      <c r="O110">
        <v>1384.26</v>
      </c>
      <c r="P110">
        <v>138.233</v>
      </c>
      <c r="Q110">
        <v>0.91020000000000001</v>
      </c>
      <c r="R110">
        <f t="shared" si="1"/>
        <v>8761.7490360000011</v>
      </c>
      <c r="T110" s="1">
        <v>43616</v>
      </c>
      <c r="U110">
        <v>8503.3799999999992</v>
      </c>
    </row>
    <row r="111" spans="1:21" x14ac:dyDescent="0.25">
      <c r="A111" s="1">
        <v>43738</v>
      </c>
      <c r="B111">
        <v>259.12049999999999</v>
      </c>
      <c r="C111">
        <v>569.42700000000002</v>
      </c>
      <c r="D111">
        <v>501.44909999999999</v>
      </c>
      <c r="E111">
        <v>8240.9</v>
      </c>
      <c r="F111">
        <v>1472.49</v>
      </c>
      <c r="G111">
        <v>724.18799999999999</v>
      </c>
      <c r="J111" s="1">
        <v>43738</v>
      </c>
      <c r="K111">
        <v>223.14699999999999</v>
      </c>
      <c r="L111">
        <v>230.03370000000001</v>
      </c>
      <c r="M111">
        <v>411.00689999999997</v>
      </c>
      <c r="N111">
        <v>7552.44</v>
      </c>
      <c r="O111">
        <v>1350.97</v>
      </c>
      <c r="P111">
        <v>138.13399999999999</v>
      </c>
      <c r="Q111">
        <v>0.91759999999999997</v>
      </c>
      <c r="R111">
        <f t="shared" si="1"/>
        <v>7561.8498399999999</v>
      </c>
      <c r="T111" s="1">
        <v>43646</v>
      </c>
      <c r="U111">
        <v>11392.98</v>
      </c>
    </row>
    <row r="112" spans="1:21" x14ac:dyDescent="0.25">
      <c r="A112" s="1">
        <v>43769</v>
      </c>
      <c r="B112">
        <v>266.21230000000003</v>
      </c>
      <c r="C112">
        <v>568.44399999999996</v>
      </c>
      <c r="D112">
        <v>503.55829999999997</v>
      </c>
      <c r="E112">
        <v>9189.42</v>
      </c>
      <c r="F112">
        <v>1512.99</v>
      </c>
      <c r="G112">
        <v>725.58100000000002</v>
      </c>
      <c r="J112" s="1">
        <v>43769</v>
      </c>
      <c r="K112">
        <v>224.02500000000001</v>
      </c>
      <c r="L112">
        <v>229.09139999999999</v>
      </c>
      <c r="M112">
        <v>411.72669999999999</v>
      </c>
      <c r="N112">
        <v>8241.4</v>
      </c>
      <c r="O112">
        <v>1356.62</v>
      </c>
      <c r="P112">
        <v>138.066</v>
      </c>
      <c r="Q112">
        <v>0.89670000000000005</v>
      </c>
      <c r="R112">
        <f t="shared" si="1"/>
        <v>8240.1529140000002</v>
      </c>
      <c r="T112" s="1">
        <v>43677</v>
      </c>
      <c r="U112">
        <v>10026.61</v>
      </c>
    </row>
    <row r="113" spans="1:21" x14ac:dyDescent="0.25">
      <c r="A113" s="1">
        <v>43798</v>
      </c>
      <c r="B113">
        <v>272.71089999999998</v>
      </c>
      <c r="C113">
        <v>567.77719999999999</v>
      </c>
      <c r="D113">
        <v>505.00869999999998</v>
      </c>
      <c r="E113">
        <v>7710.34</v>
      </c>
      <c r="F113">
        <v>1463.98</v>
      </c>
      <c r="G113">
        <v>726.48599999999999</v>
      </c>
      <c r="J113" s="1">
        <v>43798</v>
      </c>
      <c r="K113">
        <v>232.21</v>
      </c>
      <c r="L113">
        <v>228.38229999999999</v>
      </c>
      <c r="M113">
        <v>412.10210000000001</v>
      </c>
      <c r="N113">
        <v>7000.7</v>
      </c>
      <c r="O113">
        <v>1319.68</v>
      </c>
      <c r="P113">
        <v>137.98099999999999</v>
      </c>
      <c r="Q113">
        <v>0.90759999999999996</v>
      </c>
      <c r="R113">
        <f t="shared" si="1"/>
        <v>6997.9045839999999</v>
      </c>
      <c r="T113" s="1">
        <v>43708</v>
      </c>
      <c r="U113">
        <v>9626.18</v>
      </c>
    </row>
    <row r="114" spans="1:21" x14ac:dyDescent="0.25">
      <c r="A114" s="1">
        <v>43830</v>
      </c>
      <c r="B114">
        <v>282.31450000000001</v>
      </c>
      <c r="C114">
        <v>566.61310000000003</v>
      </c>
      <c r="D114">
        <v>516.69719999999995</v>
      </c>
      <c r="E114">
        <v>7158.27</v>
      </c>
      <c r="F114">
        <v>1517.27</v>
      </c>
      <c r="G114">
        <v>727.52300000000002</v>
      </c>
      <c r="J114" s="1">
        <v>43830</v>
      </c>
      <c r="K114">
        <v>236.126</v>
      </c>
      <c r="L114">
        <v>227.3486</v>
      </c>
      <c r="M114">
        <v>420.47019999999998</v>
      </c>
      <c r="N114">
        <v>6399.77</v>
      </c>
      <c r="O114">
        <v>1353.22</v>
      </c>
      <c r="P114">
        <v>137.92699999999999</v>
      </c>
      <c r="Q114">
        <v>0.89190000000000003</v>
      </c>
      <c r="R114">
        <f t="shared" si="1"/>
        <v>6384.461013000001</v>
      </c>
      <c r="T114" s="1">
        <v>43738</v>
      </c>
      <c r="U114">
        <v>8240.9</v>
      </c>
    </row>
    <row r="115" spans="1:21" x14ac:dyDescent="0.25">
      <c r="A115" s="1">
        <v>43861</v>
      </c>
      <c r="B115">
        <v>279.19600000000003</v>
      </c>
      <c r="C115">
        <v>576.83839999999998</v>
      </c>
      <c r="D115">
        <v>518.57370000000003</v>
      </c>
      <c r="E115">
        <v>9354.2900000000009</v>
      </c>
      <c r="F115">
        <v>1589.16</v>
      </c>
      <c r="G115">
        <v>728.495</v>
      </c>
      <c r="J115" s="1">
        <v>43861</v>
      </c>
      <c r="K115">
        <v>236.53100000000001</v>
      </c>
      <c r="L115">
        <v>231.0659</v>
      </c>
      <c r="M115">
        <v>421.17140000000001</v>
      </c>
      <c r="N115">
        <v>8435.24</v>
      </c>
      <c r="O115">
        <v>1432.7</v>
      </c>
      <c r="P115">
        <v>137.833</v>
      </c>
      <c r="Q115">
        <v>0.90149999999999997</v>
      </c>
      <c r="R115">
        <f t="shared" si="1"/>
        <v>8432.8924349999998</v>
      </c>
      <c r="T115" s="1">
        <v>43769</v>
      </c>
      <c r="U115">
        <v>9189.42</v>
      </c>
    </row>
    <row r="116" spans="1:21" x14ac:dyDescent="0.25">
      <c r="A116" s="1">
        <v>43889</v>
      </c>
      <c r="B116">
        <v>256.6454</v>
      </c>
      <c r="C116">
        <v>583.89840000000004</v>
      </c>
      <c r="D116">
        <v>510.23079999999999</v>
      </c>
      <c r="E116">
        <v>8633.36</v>
      </c>
      <c r="F116">
        <v>1585.69</v>
      </c>
      <c r="G116">
        <v>729.572</v>
      </c>
      <c r="J116" s="1">
        <v>43889</v>
      </c>
      <c r="K116">
        <v>219.35599999999999</v>
      </c>
      <c r="L116">
        <v>233.50810000000001</v>
      </c>
      <c r="M116">
        <v>413.56630000000001</v>
      </c>
      <c r="N116">
        <v>7861.27</v>
      </c>
      <c r="O116">
        <v>1435.6</v>
      </c>
      <c r="P116">
        <v>137.77099999999999</v>
      </c>
      <c r="Q116">
        <v>0.90690000000000004</v>
      </c>
      <c r="R116">
        <f t="shared" si="1"/>
        <v>7829.5941840000005</v>
      </c>
      <c r="T116" s="1">
        <v>43799</v>
      </c>
      <c r="U116">
        <v>7710.34</v>
      </c>
    </row>
    <row r="117" spans="1:21" x14ac:dyDescent="0.25">
      <c r="A117" s="1">
        <v>43921</v>
      </c>
      <c r="B117">
        <v>221.9974</v>
      </c>
      <c r="C117">
        <v>574.81100000000004</v>
      </c>
      <c r="D117">
        <v>441.6207</v>
      </c>
      <c r="E117">
        <v>6481.37</v>
      </c>
      <c r="F117">
        <v>1577.18</v>
      </c>
      <c r="G117">
        <v>731.70299999999997</v>
      </c>
      <c r="J117" s="1">
        <v>43921</v>
      </c>
      <c r="K117">
        <v>189.95</v>
      </c>
      <c r="L117">
        <v>229.42760000000001</v>
      </c>
      <c r="M117">
        <v>357.09780000000001</v>
      </c>
      <c r="N117">
        <v>5883.47</v>
      </c>
      <c r="O117">
        <v>1429.72</v>
      </c>
      <c r="P117">
        <v>137.708</v>
      </c>
      <c r="Q117">
        <v>0.90639999999999998</v>
      </c>
      <c r="R117">
        <f t="shared" si="1"/>
        <v>5874.7137679999996</v>
      </c>
      <c r="T117" s="1">
        <v>43830</v>
      </c>
      <c r="U117">
        <v>7158.27</v>
      </c>
    </row>
    <row r="118" spans="1:21" x14ac:dyDescent="0.25">
      <c r="A118" s="1">
        <v>43951</v>
      </c>
      <c r="B118">
        <v>245.77889999999999</v>
      </c>
      <c r="C118">
        <v>584.11649999999997</v>
      </c>
      <c r="D118">
        <v>460.99329999999998</v>
      </c>
      <c r="E118">
        <v>8826.56</v>
      </c>
      <c r="F118">
        <v>1686.5</v>
      </c>
      <c r="G118">
        <v>731.76</v>
      </c>
      <c r="J118" s="1">
        <v>43951</v>
      </c>
      <c r="K118">
        <v>210.673</v>
      </c>
      <c r="L118">
        <v>232.86340000000001</v>
      </c>
      <c r="M118">
        <v>372.34280000000001</v>
      </c>
      <c r="N118">
        <v>8072.25</v>
      </c>
      <c r="O118">
        <v>1539.58</v>
      </c>
      <c r="P118">
        <v>137.642</v>
      </c>
      <c r="Q118">
        <v>0.91310000000000002</v>
      </c>
      <c r="R118">
        <f t="shared" si="1"/>
        <v>8059.5319359999994</v>
      </c>
      <c r="T118" s="1">
        <v>43861</v>
      </c>
      <c r="U118">
        <v>9354.2900000000009</v>
      </c>
    </row>
    <row r="119" spans="1:21" x14ac:dyDescent="0.25">
      <c r="A119" s="1">
        <v>43980</v>
      </c>
      <c r="B119">
        <v>256.46809999999999</v>
      </c>
      <c r="C119">
        <v>585.77200000000005</v>
      </c>
      <c r="D119">
        <v>483.58530000000002</v>
      </c>
      <c r="E119">
        <v>9505.3799999999992</v>
      </c>
      <c r="F119">
        <v>1730.27</v>
      </c>
      <c r="G119">
        <v>731.77200000000005</v>
      </c>
      <c r="J119" s="1">
        <v>43980</v>
      </c>
      <c r="K119">
        <v>216.465</v>
      </c>
      <c r="L119">
        <v>233.37190000000001</v>
      </c>
      <c r="M119">
        <v>390.12180000000001</v>
      </c>
      <c r="N119">
        <v>8485.99</v>
      </c>
      <c r="O119">
        <v>1560.99</v>
      </c>
      <c r="P119">
        <v>137.584</v>
      </c>
      <c r="Q119">
        <v>0.90059999999999996</v>
      </c>
      <c r="R119">
        <f t="shared" si="1"/>
        <v>8560.545227999999</v>
      </c>
      <c r="T119" s="1">
        <v>43890</v>
      </c>
      <c r="U119">
        <v>8633.36</v>
      </c>
    </row>
    <row r="120" spans="1:21" x14ac:dyDescent="0.25">
      <c r="A120" s="1">
        <v>44012</v>
      </c>
      <c r="B120">
        <v>264.66289999999998</v>
      </c>
      <c r="C120">
        <v>588.69539999999995</v>
      </c>
      <c r="D120">
        <v>493.89460000000003</v>
      </c>
      <c r="E120">
        <v>9147.09</v>
      </c>
      <c r="F120">
        <v>1780.96</v>
      </c>
      <c r="G120">
        <v>731.86599999999999</v>
      </c>
      <c r="J120" s="1">
        <v>44012</v>
      </c>
      <c r="K120">
        <v>221.23400000000001</v>
      </c>
      <c r="L120">
        <v>234.38650000000001</v>
      </c>
      <c r="M120">
        <v>398.14089999999999</v>
      </c>
      <c r="N120">
        <v>8155.74</v>
      </c>
      <c r="O120">
        <v>1585.37</v>
      </c>
      <c r="P120">
        <v>137.53299999999999</v>
      </c>
      <c r="Q120">
        <v>0.89019999999999999</v>
      </c>
      <c r="R120">
        <f t="shared" si="1"/>
        <v>8142.7395180000003</v>
      </c>
      <c r="T120" s="1">
        <v>43921</v>
      </c>
      <c r="U120">
        <v>6481.37</v>
      </c>
    </row>
    <row r="121" spans="1:21" x14ac:dyDescent="0.25">
      <c r="A121" s="1">
        <v>44043</v>
      </c>
      <c r="B121">
        <v>278.6601</v>
      </c>
      <c r="C121">
        <v>595.12850000000003</v>
      </c>
      <c r="D121">
        <v>511.76429999999999</v>
      </c>
      <c r="E121">
        <v>11345.63</v>
      </c>
      <c r="F121">
        <v>1975.86</v>
      </c>
      <c r="G121">
        <v>732.01099999999997</v>
      </c>
      <c r="J121" s="1">
        <v>44043</v>
      </c>
      <c r="K121">
        <v>221.24299999999999</v>
      </c>
      <c r="L121">
        <v>236.65600000000001</v>
      </c>
      <c r="M121">
        <v>411.6497</v>
      </c>
      <c r="N121">
        <v>9642.24</v>
      </c>
      <c r="O121">
        <v>1678.28</v>
      </c>
      <c r="P121">
        <v>137.45400000000001</v>
      </c>
      <c r="Q121">
        <v>0.84899999999999998</v>
      </c>
      <c r="R121">
        <f t="shared" si="1"/>
        <v>9632.4398699999983</v>
      </c>
      <c r="T121" s="1">
        <v>43951</v>
      </c>
      <c r="U121">
        <v>8826.56</v>
      </c>
    </row>
    <row r="122" spans="1:21" x14ac:dyDescent="0.25">
      <c r="A122" s="1">
        <v>44074</v>
      </c>
      <c r="B122">
        <v>295.71559999999999</v>
      </c>
      <c r="C122">
        <v>590.81600000000003</v>
      </c>
      <c r="D122">
        <v>519.04470000000003</v>
      </c>
      <c r="E122">
        <v>11678.6</v>
      </c>
      <c r="F122">
        <v>1967.8</v>
      </c>
      <c r="G122">
        <v>732.06700000000001</v>
      </c>
      <c r="J122" s="1">
        <v>44074</v>
      </c>
      <c r="K122">
        <v>232.14400000000001</v>
      </c>
      <c r="L122">
        <v>234.80869999999999</v>
      </c>
      <c r="M122">
        <v>417.1902</v>
      </c>
      <c r="N122">
        <v>9799.91</v>
      </c>
      <c r="O122">
        <v>1648.56</v>
      </c>
      <c r="P122">
        <v>137.39099999999999</v>
      </c>
      <c r="Q122">
        <v>0.83779999999999999</v>
      </c>
      <c r="R122">
        <f t="shared" si="1"/>
        <v>9784.3310799999999</v>
      </c>
      <c r="T122" s="1">
        <v>43982</v>
      </c>
      <c r="U122">
        <v>9505.3799999999992</v>
      </c>
    </row>
    <row r="123" spans="1:21" x14ac:dyDescent="0.25">
      <c r="A123" s="1">
        <v>44104</v>
      </c>
      <c r="B123">
        <v>286.1807</v>
      </c>
      <c r="C123">
        <v>592.97429999999997</v>
      </c>
      <c r="D123">
        <v>511.42869999999999</v>
      </c>
      <c r="E123">
        <v>10706.95</v>
      </c>
      <c r="F123">
        <v>1885.82</v>
      </c>
      <c r="G123">
        <v>732.154</v>
      </c>
      <c r="J123" s="1">
        <v>44104</v>
      </c>
      <c r="K123">
        <v>229.12299999999999</v>
      </c>
      <c r="L123">
        <v>235.5256</v>
      </c>
      <c r="M123">
        <v>410.63350000000003</v>
      </c>
      <c r="N123">
        <v>9139.6</v>
      </c>
      <c r="O123">
        <v>1609.02</v>
      </c>
      <c r="P123">
        <v>137.34</v>
      </c>
      <c r="Q123">
        <v>0.85319999999999996</v>
      </c>
      <c r="R123">
        <f t="shared" si="1"/>
        <v>9135.1697399999994</v>
      </c>
      <c r="T123" s="1">
        <v>44012</v>
      </c>
      <c r="U123">
        <v>9147.09</v>
      </c>
    </row>
    <row r="124" spans="1:21" x14ac:dyDescent="0.25">
      <c r="A124" s="1">
        <v>44134</v>
      </c>
      <c r="B124">
        <v>279.22410000000002</v>
      </c>
      <c r="C124">
        <v>593.01750000000004</v>
      </c>
      <c r="D124">
        <v>512.42629999999997</v>
      </c>
      <c r="E124">
        <v>13850.1</v>
      </c>
      <c r="F124">
        <v>1878.81</v>
      </c>
      <c r="G124">
        <v>732.23</v>
      </c>
      <c r="J124" s="1">
        <v>44134</v>
      </c>
      <c r="K124">
        <v>225.05</v>
      </c>
      <c r="L124">
        <v>235.38939999999999</v>
      </c>
      <c r="M124">
        <v>411.16329999999999</v>
      </c>
      <c r="N124">
        <v>11700.21</v>
      </c>
      <c r="O124">
        <v>1613.16</v>
      </c>
      <c r="P124">
        <v>137.32300000000001</v>
      </c>
      <c r="Q124">
        <v>0.85860000000000003</v>
      </c>
      <c r="R124">
        <f t="shared" si="1"/>
        <v>11891.695860000002</v>
      </c>
      <c r="T124" s="1">
        <v>44043</v>
      </c>
      <c r="U124">
        <v>11345.63</v>
      </c>
    </row>
    <row r="125" spans="1:21" x14ac:dyDescent="0.25">
      <c r="A125" s="1">
        <v>44165</v>
      </c>
      <c r="B125">
        <v>313.64210000000003</v>
      </c>
      <c r="C125">
        <v>596.40120000000002</v>
      </c>
      <c r="D125">
        <v>535.37599999999998</v>
      </c>
      <c r="E125">
        <v>19378.61</v>
      </c>
      <c r="F125">
        <v>1776.95</v>
      </c>
      <c r="G125">
        <v>732.29499999999996</v>
      </c>
      <c r="J125" s="1">
        <v>44165</v>
      </c>
      <c r="K125">
        <v>246.16499999999999</v>
      </c>
      <c r="L125">
        <v>236.54429999999999</v>
      </c>
      <c r="M125">
        <v>428.8732</v>
      </c>
      <c r="N125">
        <v>16202.7</v>
      </c>
      <c r="O125">
        <v>1489.97</v>
      </c>
      <c r="P125">
        <v>137.24799999999999</v>
      </c>
      <c r="Q125">
        <v>0.83850000000000002</v>
      </c>
      <c r="R125">
        <f t="shared" si="1"/>
        <v>16248.964485</v>
      </c>
      <c r="T125" s="1">
        <v>44074</v>
      </c>
      <c r="U125">
        <v>11678.6</v>
      </c>
    </row>
    <row r="126" spans="1:21" x14ac:dyDescent="0.25">
      <c r="A126" s="1">
        <v>44196</v>
      </c>
      <c r="B126">
        <v>328.20429999999999</v>
      </c>
      <c r="C126">
        <v>598.23350000000005</v>
      </c>
      <c r="D126">
        <v>546.31920000000002</v>
      </c>
      <c r="E126">
        <v>28996.28</v>
      </c>
      <c r="F126">
        <v>1898.36</v>
      </c>
      <c r="G126">
        <v>732.37599999999998</v>
      </c>
      <c r="J126" s="1">
        <v>44196</v>
      </c>
      <c r="K126">
        <v>251.83699999999999</v>
      </c>
      <c r="L126">
        <v>236.98060000000001</v>
      </c>
      <c r="M126">
        <v>436.98660000000001</v>
      </c>
      <c r="N126">
        <v>23717.17</v>
      </c>
      <c r="O126">
        <v>1554.2</v>
      </c>
      <c r="P126">
        <v>137.161</v>
      </c>
      <c r="Q126">
        <v>0.81859999999999999</v>
      </c>
      <c r="R126">
        <f t="shared" si="1"/>
        <v>23736.354808</v>
      </c>
      <c r="T126" s="1">
        <v>44104</v>
      </c>
      <c r="U126">
        <v>10706.95</v>
      </c>
    </row>
    <row r="127" spans="1:21" x14ac:dyDescent="0.25">
      <c r="A127" s="1">
        <v>44225</v>
      </c>
      <c r="B127">
        <v>326.71159999999998</v>
      </c>
      <c r="C127">
        <v>595.02459999999996</v>
      </c>
      <c r="D127">
        <v>546.1431</v>
      </c>
      <c r="E127">
        <v>32601.26</v>
      </c>
      <c r="F127">
        <v>1847.65</v>
      </c>
      <c r="G127">
        <v>732.44500000000005</v>
      </c>
      <c r="J127" s="1">
        <v>44225</v>
      </c>
      <c r="K127">
        <v>252.476</v>
      </c>
      <c r="L127">
        <v>235.52510000000001</v>
      </c>
      <c r="M127">
        <v>436.50330000000002</v>
      </c>
      <c r="N127">
        <v>28582.7</v>
      </c>
      <c r="O127">
        <v>1522.46</v>
      </c>
      <c r="P127">
        <v>137.04300000000001</v>
      </c>
      <c r="Q127">
        <v>0.82389999999999997</v>
      </c>
      <c r="R127">
        <f t="shared" si="1"/>
        <v>26860.178113999998</v>
      </c>
      <c r="T127" s="1">
        <v>44135</v>
      </c>
      <c r="U127">
        <v>13850.1</v>
      </c>
    </row>
    <row r="128" spans="1:21" x14ac:dyDescent="0.25">
      <c r="A128" s="1">
        <v>44253</v>
      </c>
      <c r="B128">
        <v>334.27940000000001</v>
      </c>
      <c r="C128">
        <v>585.76890000000003</v>
      </c>
      <c r="D128">
        <v>546.86770000000001</v>
      </c>
      <c r="E128">
        <v>45248.24</v>
      </c>
      <c r="F128">
        <v>1734.04</v>
      </c>
      <c r="G128">
        <v>732.50699999999995</v>
      </c>
      <c r="J128" s="1">
        <v>44253</v>
      </c>
      <c r="K128">
        <v>258.55799999999999</v>
      </c>
      <c r="L128">
        <v>231.7131</v>
      </c>
      <c r="M128">
        <v>436.815</v>
      </c>
      <c r="N128">
        <v>37865.15</v>
      </c>
      <c r="O128">
        <v>1436.04</v>
      </c>
      <c r="P128">
        <v>136.97399999999999</v>
      </c>
      <c r="Q128">
        <v>0.82830000000000004</v>
      </c>
      <c r="R128">
        <f t="shared" si="1"/>
        <v>37479.117191999998</v>
      </c>
      <c r="T128" s="1">
        <v>44165</v>
      </c>
      <c r="U128">
        <v>19378.61</v>
      </c>
    </row>
    <row r="129" spans="1:21" x14ac:dyDescent="0.25">
      <c r="A129" s="1">
        <v>44286</v>
      </c>
      <c r="B129">
        <v>343.20780000000002</v>
      </c>
      <c r="C129">
        <v>583.46100000000001</v>
      </c>
      <c r="D129">
        <v>545.14080000000001</v>
      </c>
      <c r="E129">
        <v>58960.2</v>
      </c>
      <c r="F129">
        <v>1707.71</v>
      </c>
      <c r="G129">
        <v>732.56</v>
      </c>
      <c r="J129" s="1">
        <v>44286</v>
      </c>
      <c r="K129">
        <v>274.16000000000003</v>
      </c>
      <c r="L129">
        <v>230.5728</v>
      </c>
      <c r="M129">
        <v>434.97579999999999</v>
      </c>
      <c r="N129">
        <v>50180.09</v>
      </c>
      <c r="O129">
        <v>1455.82</v>
      </c>
      <c r="P129">
        <v>136.911</v>
      </c>
      <c r="Q129">
        <v>0.85250000000000004</v>
      </c>
      <c r="R129">
        <f t="shared" si="1"/>
        <v>50263.570500000002</v>
      </c>
      <c r="T129" s="1">
        <v>44196</v>
      </c>
      <c r="U129">
        <v>28996.28</v>
      </c>
    </row>
    <row r="130" spans="1:21" x14ac:dyDescent="0.25">
      <c r="A130" s="1">
        <v>44316</v>
      </c>
      <c r="B130">
        <v>358.21370000000002</v>
      </c>
      <c r="C130">
        <v>584.98630000000003</v>
      </c>
      <c r="D130">
        <v>553.18669999999997</v>
      </c>
      <c r="E130">
        <v>56814.44</v>
      </c>
      <c r="F130">
        <v>1769.13</v>
      </c>
      <c r="G130">
        <v>732.57100000000003</v>
      </c>
      <c r="J130" s="1">
        <v>44316</v>
      </c>
      <c r="K130">
        <v>279.37299999999999</v>
      </c>
      <c r="L130">
        <v>231.02160000000001</v>
      </c>
      <c r="M130">
        <v>441.01280000000003</v>
      </c>
      <c r="N130">
        <v>47253.11</v>
      </c>
      <c r="O130">
        <v>1471.84</v>
      </c>
      <c r="P130">
        <v>136.84299999999999</v>
      </c>
      <c r="Q130">
        <v>0.83199999999999996</v>
      </c>
      <c r="R130">
        <f t="shared" si="1"/>
        <v>47269.614079999999</v>
      </c>
      <c r="T130" s="1">
        <v>44227</v>
      </c>
      <c r="U130">
        <v>32601.26</v>
      </c>
    </row>
    <row r="131" spans="1:21" x14ac:dyDescent="0.25">
      <c r="A131" s="1">
        <v>44347</v>
      </c>
      <c r="B131">
        <v>363.78829999999999</v>
      </c>
      <c r="C131">
        <v>586.29200000000003</v>
      </c>
      <c r="D131">
        <v>556.56629999999996</v>
      </c>
      <c r="E131">
        <v>36690.89</v>
      </c>
      <c r="F131">
        <v>1906.87</v>
      </c>
      <c r="G131">
        <v>732.58600000000001</v>
      </c>
      <c r="J131" s="1">
        <v>44347</v>
      </c>
      <c r="K131">
        <v>279.346</v>
      </c>
      <c r="L131">
        <v>231.3929</v>
      </c>
      <c r="M131">
        <v>443.42090000000002</v>
      </c>
      <c r="N131">
        <v>30025.23</v>
      </c>
      <c r="O131">
        <v>1559.25</v>
      </c>
      <c r="P131">
        <v>136.76599999999999</v>
      </c>
      <c r="Q131">
        <v>0.81789999999999996</v>
      </c>
      <c r="R131">
        <f t="shared" si="1"/>
        <v>30009.478930999998</v>
      </c>
      <c r="T131" s="1">
        <v>44255</v>
      </c>
      <c r="U131">
        <v>45248.24</v>
      </c>
    </row>
    <row r="132" spans="1:21" x14ac:dyDescent="0.25">
      <c r="A132" s="1">
        <v>44377</v>
      </c>
      <c r="B132">
        <v>368.58210000000003</v>
      </c>
      <c r="C132">
        <v>589.15139999999997</v>
      </c>
      <c r="D132">
        <v>561.14800000000002</v>
      </c>
      <c r="E132">
        <v>34585</v>
      </c>
      <c r="F132">
        <v>1770.11</v>
      </c>
      <c r="G132">
        <v>732.55899999999997</v>
      </c>
      <c r="J132" s="1">
        <v>44377</v>
      </c>
      <c r="K132">
        <v>291.79899999999998</v>
      </c>
      <c r="L132">
        <v>232.41759999999999</v>
      </c>
      <c r="M132">
        <v>446.8768</v>
      </c>
      <c r="N132">
        <v>29179.66</v>
      </c>
      <c r="O132">
        <v>1492.84</v>
      </c>
      <c r="P132">
        <v>136.70099999999999</v>
      </c>
      <c r="Q132">
        <v>0.84340000000000004</v>
      </c>
      <c r="R132">
        <f t="shared" si="1"/>
        <v>29168.989000000001</v>
      </c>
      <c r="T132" s="1">
        <v>44286</v>
      </c>
      <c r="U132">
        <v>58960.2</v>
      </c>
    </row>
    <row r="133" spans="1:21" x14ac:dyDescent="0.25">
      <c r="A133" s="1">
        <v>44407</v>
      </c>
      <c r="B133">
        <v>371.12189999999998</v>
      </c>
      <c r="C133">
        <v>596.47370000000001</v>
      </c>
      <c r="D133">
        <v>561.74530000000004</v>
      </c>
      <c r="E133">
        <v>41540.22</v>
      </c>
      <c r="F133">
        <v>1814.19</v>
      </c>
      <c r="G133">
        <v>732.596</v>
      </c>
      <c r="J133" s="1">
        <v>44407</v>
      </c>
      <c r="K133">
        <v>293.834</v>
      </c>
      <c r="L133">
        <v>235.16220000000001</v>
      </c>
      <c r="M133">
        <v>447.0652</v>
      </c>
      <c r="N133">
        <v>34273.269999999997</v>
      </c>
      <c r="O133">
        <v>1528.36</v>
      </c>
      <c r="P133">
        <v>136.62899999999999</v>
      </c>
      <c r="Q133">
        <v>0.8427</v>
      </c>
      <c r="R133">
        <f t="shared" si="1"/>
        <v>35005.943394000002</v>
      </c>
      <c r="T133" s="1">
        <v>44316</v>
      </c>
      <c r="U133">
        <v>56814.44</v>
      </c>
    </row>
    <row r="134" spans="1:21" x14ac:dyDescent="0.25">
      <c r="A134" s="1">
        <v>44439</v>
      </c>
      <c r="B134">
        <v>380.41090000000003</v>
      </c>
      <c r="C134">
        <v>595.27869999999996</v>
      </c>
      <c r="D134">
        <v>565.96429999999998</v>
      </c>
      <c r="E134">
        <v>47008.53</v>
      </c>
      <c r="F134">
        <v>1813.62</v>
      </c>
      <c r="G134">
        <v>732.625</v>
      </c>
      <c r="J134" s="1">
        <v>44439</v>
      </c>
      <c r="K134">
        <v>302.553</v>
      </c>
      <c r="L134">
        <v>234.5498</v>
      </c>
      <c r="M134">
        <v>450.16199999999998</v>
      </c>
      <c r="N134">
        <v>39814.269999999997</v>
      </c>
      <c r="O134">
        <v>1535.77</v>
      </c>
      <c r="P134">
        <v>136.55500000000001</v>
      </c>
      <c r="Q134">
        <v>0.8468</v>
      </c>
      <c r="R134">
        <f t="shared" si="1"/>
        <v>39806.823204</v>
      </c>
      <c r="T134" s="1">
        <v>44347</v>
      </c>
      <c r="U134">
        <v>36690.89</v>
      </c>
    </row>
    <row r="135" spans="1:21" x14ac:dyDescent="0.25">
      <c r="A135" s="1">
        <v>44469</v>
      </c>
      <c r="B135">
        <v>364.69619999999998</v>
      </c>
      <c r="C135">
        <v>589.65859999999998</v>
      </c>
      <c r="D135">
        <v>561.90589999999997</v>
      </c>
      <c r="E135">
        <v>43436.35</v>
      </c>
      <c r="F135">
        <v>1756.95</v>
      </c>
      <c r="G135">
        <v>732.66499999999996</v>
      </c>
      <c r="J135" s="1">
        <v>44469</v>
      </c>
      <c r="K135">
        <v>295.43599999999998</v>
      </c>
      <c r="L135">
        <v>232.14760000000001</v>
      </c>
      <c r="M135">
        <v>446.55680000000001</v>
      </c>
      <c r="N135">
        <v>37522.949999999997</v>
      </c>
      <c r="O135">
        <v>1517.59</v>
      </c>
      <c r="P135">
        <v>136.489</v>
      </c>
      <c r="Q135">
        <v>0.86380000000000001</v>
      </c>
      <c r="R135">
        <f t="shared" si="1"/>
        <v>37520.319129999996</v>
      </c>
      <c r="T135" s="1">
        <v>44377</v>
      </c>
      <c r="U135">
        <v>34585</v>
      </c>
    </row>
    <row r="136" spans="1:21" x14ac:dyDescent="0.25">
      <c r="A136" s="1">
        <v>44498</v>
      </c>
      <c r="B136">
        <v>383.3116</v>
      </c>
      <c r="C136">
        <v>588.11659999999995</v>
      </c>
      <c r="D136">
        <v>558.92759999999998</v>
      </c>
      <c r="E136">
        <v>60975.98</v>
      </c>
      <c r="F136">
        <v>1783.38</v>
      </c>
      <c r="G136">
        <v>732.63499999999999</v>
      </c>
      <c r="J136" s="1">
        <v>44498</v>
      </c>
      <c r="K136">
        <v>310.97199999999998</v>
      </c>
      <c r="L136">
        <v>231.4033</v>
      </c>
      <c r="M136">
        <v>443.92219999999998</v>
      </c>
      <c r="N136">
        <v>53947.58</v>
      </c>
      <c r="O136">
        <v>1542.54</v>
      </c>
      <c r="P136">
        <v>136.41900000000001</v>
      </c>
      <c r="Q136">
        <v>0.86499999999999999</v>
      </c>
      <c r="R136">
        <f t="shared" ref="R136:R184" si="2">E136*Q136</f>
        <v>52744.222700000006</v>
      </c>
      <c r="T136" s="1">
        <v>44408</v>
      </c>
      <c r="U136">
        <v>41540.22</v>
      </c>
    </row>
    <row r="137" spans="1:21" x14ac:dyDescent="0.25">
      <c r="A137" s="1">
        <v>44530</v>
      </c>
      <c r="B137">
        <v>374.08139999999997</v>
      </c>
      <c r="C137">
        <v>592.31179999999995</v>
      </c>
      <c r="D137">
        <v>551.08979999999997</v>
      </c>
      <c r="E137">
        <v>57138.67</v>
      </c>
      <c r="F137">
        <v>1774.52</v>
      </c>
      <c r="G137">
        <v>732.68399999999997</v>
      </c>
      <c r="J137" s="1">
        <v>44530</v>
      </c>
      <c r="K137">
        <v>312.017</v>
      </c>
      <c r="L137">
        <v>232.9622</v>
      </c>
      <c r="M137">
        <v>437.21190000000001</v>
      </c>
      <c r="N137">
        <v>50393.59</v>
      </c>
      <c r="O137">
        <v>1565.07</v>
      </c>
      <c r="P137">
        <v>136.41300000000001</v>
      </c>
      <c r="Q137">
        <v>0.88190000000000002</v>
      </c>
      <c r="R137">
        <f t="shared" si="2"/>
        <v>50390.593072999996</v>
      </c>
      <c r="T137" s="1">
        <v>44439</v>
      </c>
      <c r="U137">
        <v>47008.53</v>
      </c>
    </row>
    <row r="138" spans="1:21" x14ac:dyDescent="0.25">
      <c r="A138" s="1">
        <v>44561</v>
      </c>
      <c r="B138">
        <v>389.04469999999998</v>
      </c>
      <c r="C138">
        <v>589.90959999999995</v>
      </c>
      <c r="D138">
        <v>560.14300000000003</v>
      </c>
      <c r="E138">
        <v>46333.65</v>
      </c>
      <c r="F138">
        <v>1829.2</v>
      </c>
      <c r="G138">
        <v>732.73599999999999</v>
      </c>
      <c r="J138" s="1">
        <v>44561</v>
      </c>
      <c r="K138">
        <v>321.18799999999999</v>
      </c>
      <c r="L138">
        <v>231.69649999999999</v>
      </c>
      <c r="M138">
        <v>443.71050000000002</v>
      </c>
      <c r="N138">
        <v>40765.870000000003</v>
      </c>
      <c r="O138">
        <v>1608.82</v>
      </c>
      <c r="P138">
        <v>136.22200000000001</v>
      </c>
      <c r="Q138">
        <v>0.87929999999999997</v>
      </c>
      <c r="R138">
        <f t="shared" si="2"/>
        <v>40741.178444999998</v>
      </c>
      <c r="T138" s="1">
        <v>44469</v>
      </c>
      <c r="U138">
        <v>43436.35</v>
      </c>
    </row>
    <row r="139" spans="1:21" x14ac:dyDescent="0.25">
      <c r="A139" s="1">
        <v>44592</v>
      </c>
      <c r="B139">
        <v>369.93779999999998</v>
      </c>
      <c r="C139">
        <v>580.6413</v>
      </c>
      <c r="D139">
        <v>547.56970000000001</v>
      </c>
      <c r="E139">
        <v>38437.839999999997</v>
      </c>
      <c r="F139">
        <v>1797.17</v>
      </c>
      <c r="G139">
        <v>732.70299999999997</v>
      </c>
      <c r="J139" s="1">
        <v>44592</v>
      </c>
      <c r="K139">
        <v>309.827</v>
      </c>
      <c r="L139">
        <v>227.84970000000001</v>
      </c>
      <c r="M139">
        <v>433.30590000000001</v>
      </c>
      <c r="N139">
        <v>34229.360000000001</v>
      </c>
      <c r="O139">
        <v>1599.48</v>
      </c>
      <c r="P139">
        <v>136.14500000000001</v>
      </c>
      <c r="Q139">
        <v>0.89019999999999999</v>
      </c>
      <c r="R139">
        <f t="shared" si="2"/>
        <v>34217.365167999997</v>
      </c>
      <c r="T139" s="1">
        <v>44500</v>
      </c>
      <c r="U139">
        <v>60975.98</v>
      </c>
    </row>
    <row r="140" spans="1:21" x14ac:dyDescent="0.25">
      <c r="A140" s="1">
        <v>44620</v>
      </c>
      <c r="B140">
        <v>360.38330000000002</v>
      </c>
      <c r="C140">
        <v>572.91790000000003</v>
      </c>
      <c r="D140">
        <v>534.31089999999995</v>
      </c>
      <c r="E140">
        <v>41654.97</v>
      </c>
      <c r="F140">
        <v>1908.99</v>
      </c>
      <c r="G140">
        <v>732.79700000000003</v>
      </c>
      <c r="J140" s="1">
        <v>44620</v>
      </c>
      <c r="K140">
        <v>301.23399999999998</v>
      </c>
      <c r="L140">
        <v>224.6969</v>
      </c>
      <c r="M140">
        <v>422.59500000000003</v>
      </c>
      <c r="N140">
        <v>37125.980000000003</v>
      </c>
      <c r="O140">
        <v>1701.64</v>
      </c>
      <c r="P140">
        <v>136.09700000000001</v>
      </c>
      <c r="Q140">
        <v>0.89139999999999997</v>
      </c>
      <c r="R140">
        <f t="shared" si="2"/>
        <v>37131.240257999998</v>
      </c>
      <c r="T140" s="1">
        <v>44530</v>
      </c>
      <c r="U140">
        <v>57138.67</v>
      </c>
    </row>
    <row r="141" spans="1:21" x14ac:dyDescent="0.25">
      <c r="A141" s="1">
        <v>44651</v>
      </c>
      <c r="B141">
        <v>368.18880000000001</v>
      </c>
      <c r="C141">
        <v>560.56790000000001</v>
      </c>
      <c r="D141">
        <v>530.98299999999995</v>
      </c>
      <c r="E141">
        <v>45767.58</v>
      </c>
      <c r="F141">
        <v>1937.44</v>
      </c>
      <c r="G141">
        <v>733.02300000000002</v>
      </c>
      <c r="J141" s="1">
        <v>44651</v>
      </c>
      <c r="K141">
        <v>310.67599999999999</v>
      </c>
      <c r="L141">
        <v>219.51249999999999</v>
      </c>
      <c r="M141">
        <v>419.36919999999998</v>
      </c>
      <c r="N141">
        <v>41351.21</v>
      </c>
      <c r="O141">
        <v>1750.68</v>
      </c>
      <c r="P141">
        <v>135.96600000000001</v>
      </c>
      <c r="Q141">
        <v>0.90359999999999996</v>
      </c>
      <c r="R141">
        <f t="shared" si="2"/>
        <v>41355.585288000002</v>
      </c>
      <c r="T141" s="1">
        <v>44561</v>
      </c>
      <c r="U141">
        <v>46333.65</v>
      </c>
    </row>
    <row r="142" spans="1:21" x14ac:dyDescent="0.25">
      <c r="A142" s="1">
        <v>44680</v>
      </c>
      <c r="B142">
        <v>338.7183</v>
      </c>
      <c r="C142">
        <v>545.50170000000003</v>
      </c>
      <c r="D142">
        <v>512.32429999999999</v>
      </c>
      <c r="E142">
        <v>38334.699999999997</v>
      </c>
      <c r="F142">
        <v>1896.93</v>
      </c>
      <c r="G142">
        <v>733.12599999999998</v>
      </c>
      <c r="J142" s="1">
        <v>44680</v>
      </c>
      <c r="K142">
        <v>301.44200000000001</v>
      </c>
      <c r="L142">
        <v>213.0805</v>
      </c>
      <c r="M142">
        <v>403.34399999999999</v>
      </c>
      <c r="N142">
        <v>36578.1</v>
      </c>
      <c r="O142">
        <v>1799.27</v>
      </c>
      <c r="P142">
        <v>135.88300000000001</v>
      </c>
      <c r="Q142">
        <v>0.94850000000000001</v>
      </c>
      <c r="R142">
        <f t="shared" si="2"/>
        <v>36360.462950000001</v>
      </c>
      <c r="T142" s="1">
        <v>44592</v>
      </c>
      <c r="U142">
        <v>38437.839999999997</v>
      </c>
    </row>
    <row r="143" spans="1:21" x14ac:dyDescent="0.25">
      <c r="A143" s="1">
        <v>44712</v>
      </c>
      <c r="B143">
        <v>339.11470000000003</v>
      </c>
      <c r="C143">
        <v>544.75130000000001</v>
      </c>
      <c r="D143">
        <v>510.51900000000001</v>
      </c>
      <c r="E143">
        <v>31788.28</v>
      </c>
      <c r="F143">
        <v>1837.35</v>
      </c>
      <c r="G143">
        <v>733.63099999999997</v>
      </c>
      <c r="J143" s="1">
        <v>44712</v>
      </c>
      <c r="K143">
        <v>297.202</v>
      </c>
      <c r="L143">
        <v>212.5172</v>
      </c>
      <c r="M143">
        <v>401.45330000000001</v>
      </c>
      <c r="N143">
        <v>29591.61</v>
      </c>
      <c r="O143">
        <v>1711.42</v>
      </c>
      <c r="P143">
        <v>135.70400000000001</v>
      </c>
      <c r="Q143">
        <v>0.93169999999999997</v>
      </c>
      <c r="R143">
        <f t="shared" si="2"/>
        <v>29617.140475999997</v>
      </c>
      <c r="T143" s="1">
        <v>44620</v>
      </c>
      <c r="U143">
        <v>41654.97</v>
      </c>
    </row>
    <row r="144" spans="1:21" x14ac:dyDescent="0.25">
      <c r="A144" s="1">
        <v>44742</v>
      </c>
      <c r="B144">
        <v>310.52859999999998</v>
      </c>
      <c r="C144">
        <v>536.48389999999995</v>
      </c>
      <c r="D144">
        <v>474.8374</v>
      </c>
      <c r="E144">
        <v>18731.3</v>
      </c>
      <c r="F144">
        <v>1807.27</v>
      </c>
      <c r="G144">
        <v>733.79100000000005</v>
      </c>
      <c r="J144" s="1">
        <v>44742</v>
      </c>
      <c r="K144">
        <v>278.86500000000001</v>
      </c>
      <c r="L144">
        <v>208.8536</v>
      </c>
      <c r="M144">
        <v>371.96129999999999</v>
      </c>
      <c r="N144">
        <v>17878.080000000002</v>
      </c>
      <c r="O144">
        <v>1723.81</v>
      </c>
      <c r="P144">
        <v>135.51</v>
      </c>
      <c r="Q144">
        <v>0.95389999999999997</v>
      </c>
      <c r="R144">
        <f t="shared" si="2"/>
        <v>17867.787069999998</v>
      </c>
      <c r="T144" s="1">
        <v>44651</v>
      </c>
      <c r="U144">
        <v>45767.58</v>
      </c>
    </row>
    <row r="145" spans="1:21" x14ac:dyDescent="0.25">
      <c r="A145" s="1">
        <v>44771</v>
      </c>
      <c r="B145">
        <v>332.21359999999999</v>
      </c>
      <c r="C145">
        <v>550.14859999999999</v>
      </c>
      <c r="D145">
        <v>496.28120000000001</v>
      </c>
      <c r="E145">
        <v>23807.279999999999</v>
      </c>
      <c r="F145">
        <v>1765.94</v>
      </c>
      <c r="G145">
        <v>734.16700000000003</v>
      </c>
      <c r="J145" s="1">
        <v>44771</v>
      </c>
      <c r="K145">
        <v>305.88799999999998</v>
      </c>
      <c r="L145">
        <v>213.8587</v>
      </c>
      <c r="M145">
        <v>388.34190000000001</v>
      </c>
      <c r="N145">
        <v>23426.35</v>
      </c>
      <c r="O145">
        <v>1728.1</v>
      </c>
      <c r="P145">
        <v>135.48699999999999</v>
      </c>
      <c r="Q145">
        <v>0.97850000000000004</v>
      </c>
      <c r="R145">
        <f t="shared" si="2"/>
        <v>23295.423480000001</v>
      </c>
      <c r="T145" s="1">
        <v>44681</v>
      </c>
      <c r="U145">
        <v>38334.699999999997</v>
      </c>
    </row>
    <row r="146" spans="1:21" x14ac:dyDescent="0.25">
      <c r="A146" s="1">
        <v>44804</v>
      </c>
      <c r="B146">
        <v>319.98320000000001</v>
      </c>
      <c r="C146">
        <v>535.7867</v>
      </c>
      <c r="D146">
        <v>490.59300000000002</v>
      </c>
      <c r="E146">
        <v>20196.669999999998</v>
      </c>
      <c r="F146">
        <v>1711.04</v>
      </c>
      <c r="G146">
        <v>735.35199999999998</v>
      </c>
      <c r="J146" s="1">
        <v>44804</v>
      </c>
      <c r="K146">
        <v>298.75799999999998</v>
      </c>
      <c r="L146">
        <v>207.72919999999999</v>
      </c>
      <c r="M146">
        <v>382.95389999999998</v>
      </c>
      <c r="N146">
        <v>20091</v>
      </c>
      <c r="O146">
        <v>1702.05</v>
      </c>
      <c r="P146">
        <v>135.48400000000001</v>
      </c>
      <c r="Q146">
        <v>0.99470000000000003</v>
      </c>
      <c r="R146">
        <f t="shared" si="2"/>
        <v>20089.627648999998</v>
      </c>
      <c r="T146" s="1">
        <v>44712</v>
      </c>
      <c r="U146">
        <v>31788.28</v>
      </c>
    </row>
    <row r="147" spans="1:21" x14ac:dyDescent="0.25">
      <c r="A147" s="1">
        <v>44834</v>
      </c>
      <c r="B147">
        <v>289.35140000000001</v>
      </c>
      <c r="C147">
        <v>518.58659999999998</v>
      </c>
      <c r="D147">
        <v>468.38709999999998</v>
      </c>
      <c r="E147">
        <v>19425.13</v>
      </c>
      <c r="F147">
        <v>1660.61</v>
      </c>
      <c r="G147">
        <v>737.18200000000002</v>
      </c>
      <c r="J147" s="1">
        <v>44834</v>
      </c>
      <c r="K147">
        <v>277.30099999999999</v>
      </c>
      <c r="L147">
        <v>200.441</v>
      </c>
      <c r="M147">
        <v>364.29899999999998</v>
      </c>
      <c r="N147">
        <v>19817.21</v>
      </c>
      <c r="O147">
        <v>1694.16</v>
      </c>
      <c r="P147">
        <v>135.11600000000001</v>
      </c>
      <c r="Q147">
        <v>1.0202</v>
      </c>
      <c r="R147">
        <f t="shared" si="2"/>
        <v>19817.517626000001</v>
      </c>
      <c r="T147" s="1">
        <v>44742</v>
      </c>
      <c r="U147">
        <v>18731.3</v>
      </c>
    </row>
    <row r="148" spans="1:21" x14ac:dyDescent="0.25">
      <c r="A148" s="1">
        <v>44865</v>
      </c>
      <c r="B148">
        <v>306.81290000000001</v>
      </c>
      <c r="C148">
        <v>516.81169999999997</v>
      </c>
      <c r="D148">
        <v>477.6499</v>
      </c>
      <c r="E148">
        <v>20405.66</v>
      </c>
      <c r="F148">
        <v>1633.56</v>
      </c>
      <c r="G148">
        <v>738.33900000000006</v>
      </c>
      <c r="J148" s="1">
        <v>44865</v>
      </c>
      <c r="K148">
        <v>291.447</v>
      </c>
      <c r="L148">
        <v>199.34100000000001</v>
      </c>
      <c r="M148">
        <v>370.68790000000001</v>
      </c>
      <c r="N148">
        <v>20645.080000000002</v>
      </c>
      <c r="O148">
        <v>1652.52</v>
      </c>
      <c r="P148">
        <v>135.16900000000001</v>
      </c>
      <c r="Q148">
        <v>1.012</v>
      </c>
      <c r="R148">
        <f t="shared" si="2"/>
        <v>20650.52792</v>
      </c>
      <c r="T148" s="1">
        <v>44773</v>
      </c>
      <c r="U148">
        <v>23807.279999999999</v>
      </c>
    </row>
    <row r="149" spans="1:21" x14ac:dyDescent="0.25">
      <c r="A149" s="1">
        <v>44895</v>
      </c>
      <c r="B149">
        <v>330.6103</v>
      </c>
      <c r="C149">
        <v>529.98159999999996</v>
      </c>
      <c r="D149">
        <v>498.041</v>
      </c>
      <c r="E149">
        <v>17104.5</v>
      </c>
      <c r="F149">
        <v>1768.52</v>
      </c>
      <c r="G149">
        <v>740.72</v>
      </c>
      <c r="J149" s="1">
        <v>44895</v>
      </c>
      <c r="K149">
        <v>301.45499999999998</v>
      </c>
      <c r="L149">
        <v>203.82749999999999</v>
      </c>
      <c r="M149">
        <v>385.21120000000002</v>
      </c>
      <c r="N149">
        <v>16433</v>
      </c>
      <c r="O149">
        <v>1699.6</v>
      </c>
      <c r="P149">
        <v>135.227</v>
      </c>
      <c r="Q149">
        <v>0.96089999999999998</v>
      </c>
      <c r="R149">
        <f t="shared" si="2"/>
        <v>16435.714049999999</v>
      </c>
      <c r="T149" s="1">
        <v>44804</v>
      </c>
      <c r="U149">
        <v>20196.669999999998</v>
      </c>
    </row>
    <row r="150" spans="1:21" x14ac:dyDescent="0.25">
      <c r="A150" s="1">
        <v>44925</v>
      </c>
      <c r="B150">
        <v>317.60050000000001</v>
      </c>
      <c r="C150">
        <v>523.72680000000003</v>
      </c>
      <c r="D150">
        <v>498.24779999999998</v>
      </c>
      <c r="E150">
        <v>16539.5</v>
      </c>
      <c r="F150">
        <v>1824.02</v>
      </c>
      <c r="G150">
        <v>743.40099999999995</v>
      </c>
      <c r="J150" s="1">
        <v>44925</v>
      </c>
      <c r="K150">
        <v>279.39</v>
      </c>
      <c r="L150">
        <v>200.9564</v>
      </c>
      <c r="M150">
        <v>384.36950000000002</v>
      </c>
      <c r="N150">
        <v>15498.18</v>
      </c>
      <c r="O150">
        <v>1703.79</v>
      </c>
      <c r="P150">
        <v>135.34700000000001</v>
      </c>
      <c r="Q150">
        <v>0.93410000000000004</v>
      </c>
      <c r="R150">
        <f t="shared" si="2"/>
        <v>15449.54695</v>
      </c>
      <c r="T150" s="1">
        <v>44834</v>
      </c>
      <c r="U150">
        <v>19425.13</v>
      </c>
    </row>
    <row r="151" spans="1:21" x14ac:dyDescent="0.25">
      <c r="A151" s="1">
        <v>44957</v>
      </c>
      <c r="B151">
        <v>340.36509999999998</v>
      </c>
      <c r="C151">
        <v>535.78959999999995</v>
      </c>
      <c r="D151">
        <v>517.46640000000002</v>
      </c>
      <c r="E151">
        <v>22950.560000000001</v>
      </c>
      <c r="F151">
        <v>1928.36</v>
      </c>
      <c r="G151">
        <v>745.72900000000004</v>
      </c>
      <c r="J151" s="1">
        <v>44957</v>
      </c>
      <c r="K151">
        <v>294.233</v>
      </c>
      <c r="L151">
        <v>205.0796</v>
      </c>
      <c r="M151">
        <v>398.14640000000003</v>
      </c>
      <c r="N151">
        <v>21124.54</v>
      </c>
      <c r="O151">
        <v>1775.11</v>
      </c>
      <c r="P151">
        <v>135.43299999999999</v>
      </c>
      <c r="Q151">
        <v>0.92049999999999998</v>
      </c>
      <c r="R151">
        <f t="shared" si="2"/>
        <v>21125.99048</v>
      </c>
      <c r="T151" s="1">
        <v>44865</v>
      </c>
      <c r="U151">
        <v>20405.66</v>
      </c>
    </row>
    <row r="152" spans="1:21" x14ac:dyDescent="0.25">
      <c r="A152" s="1">
        <v>44985</v>
      </c>
      <c r="B152">
        <v>330.6103</v>
      </c>
      <c r="C152">
        <v>527.24369999999999</v>
      </c>
      <c r="D152">
        <v>510.21640000000002</v>
      </c>
      <c r="E152">
        <v>23146.880000000001</v>
      </c>
      <c r="F152">
        <v>1826.92</v>
      </c>
      <c r="G152">
        <v>748.16300000000001</v>
      </c>
      <c r="J152" s="1">
        <v>44985</v>
      </c>
      <c r="K152">
        <v>292.68599999999998</v>
      </c>
      <c r="L152">
        <v>201.3372</v>
      </c>
      <c r="M152">
        <v>391.63720000000001</v>
      </c>
      <c r="N152">
        <v>21893.599999999999</v>
      </c>
      <c r="O152">
        <v>1724.24</v>
      </c>
      <c r="P152">
        <v>135.52799999999999</v>
      </c>
      <c r="Q152">
        <v>0.9456</v>
      </c>
      <c r="R152">
        <f t="shared" si="2"/>
        <v>21887.689728000001</v>
      </c>
      <c r="T152" s="1">
        <v>44895</v>
      </c>
      <c r="U152">
        <v>17104.5</v>
      </c>
    </row>
    <row r="153" spans="1:21" x14ac:dyDescent="0.25">
      <c r="A153" s="1">
        <v>45016</v>
      </c>
      <c r="B153">
        <v>340.80380000000002</v>
      </c>
      <c r="C153">
        <v>538.93499999999995</v>
      </c>
      <c r="D153">
        <v>512.66849999999999</v>
      </c>
      <c r="E153">
        <v>28395.3</v>
      </c>
      <c r="F153">
        <v>1969.28</v>
      </c>
      <c r="G153">
        <v>751.38099999999997</v>
      </c>
      <c r="J153" s="1">
        <v>45016</v>
      </c>
      <c r="K153">
        <v>294.50400000000002</v>
      </c>
      <c r="L153">
        <v>205.32929999999999</v>
      </c>
      <c r="M153">
        <v>392.79140000000001</v>
      </c>
      <c r="N153">
        <v>26198.09</v>
      </c>
      <c r="O153">
        <v>1816.42</v>
      </c>
      <c r="P153">
        <v>135.934</v>
      </c>
      <c r="Q153">
        <v>0.92259999999999998</v>
      </c>
      <c r="R153">
        <f t="shared" si="2"/>
        <v>26197.503779999999</v>
      </c>
      <c r="T153" s="1">
        <v>44926</v>
      </c>
      <c r="U153">
        <v>16539.5</v>
      </c>
    </row>
    <row r="154" spans="1:21" x14ac:dyDescent="0.25">
      <c r="A154" s="1">
        <v>45044</v>
      </c>
      <c r="B154">
        <v>345.702</v>
      </c>
      <c r="C154">
        <v>541.70960000000002</v>
      </c>
      <c r="D154">
        <v>514.45249999999999</v>
      </c>
      <c r="E154">
        <v>29347.96</v>
      </c>
      <c r="F154">
        <v>1990</v>
      </c>
      <c r="G154">
        <v>753.74599999999998</v>
      </c>
      <c r="J154" s="1">
        <v>45044</v>
      </c>
      <c r="K154">
        <v>293.988</v>
      </c>
      <c r="L154">
        <v>206.0369</v>
      </c>
      <c r="M154">
        <v>393.51949999999999</v>
      </c>
      <c r="N154">
        <v>26651.119999999999</v>
      </c>
      <c r="O154">
        <v>1806.15</v>
      </c>
      <c r="P154">
        <v>136.17599999999999</v>
      </c>
      <c r="Q154">
        <v>0.90749999999999997</v>
      </c>
      <c r="R154">
        <f t="shared" si="2"/>
        <v>26633.273699999998</v>
      </c>
      <c r="T154" s="1">
        <v>44957</v>
      </c>
      <c r="U154">
        <v>22950.560000000001</v>
      </c>
    </row>
    <row r="155" spans="1:21" x14ac:dyDescent="0.25">
      <c r="A155" s="1">
        <v>45077</v>
      </c>
      <c r="B155">
        <v>341.99939999999998</v>
      </c>
      <c r="C155">
        <v>539.577</v>
      </c>
      <c r="D155">
        <v>511.99779999999998</v>
      </c>
      <c r="E155">
        <v>27117.1</v>
      </c>
      <c r="F155">
        <v>1962.73</v>
      </c>
      <c r="G155">
        <v>756.69799999999998</v>
      </c>
      <c r="J155" s="1">
        <v>45077</v>
      </c>
      <c r="K155">
        <v>301.178</v>
      </c>
      <c r="L155">
        <v>204.7757</v>
      </c>
      <c r="M155">
        <v>390.71899999999999</v>
      </c>
      <c r="N155">
        <v>25371.71</v>
      </c>
      <c r="O155">
        <v>1836.14</v>
      </c>
      <c r="P155">
        <v>136.45500000000001</v>
      </c>
      <c r="Q155">
        <v>0.9355</v>
      </c>
      <c r="R155">
        <f t="shared" si="2"/>
        <v>25368.047049999997</v>
      </c>
      <c r="T155" s="1">
        <v>44985</v>
      </c>
      <c r="U155">
        <v>23146.880000000001</v>
      </c>
    </row>
    <row r="156" spans="1:21" x14ac:dyDescent="0.25">
      <c r="A156" s="1">
        <v>45107</v>
      </c>
      <c r="B156">
        <v>361.8562</v>
      </c>
      <c r="C156">
        <v>539.255</v>
      </c>
      <c r="D156">
        <v>522.87199999999996</v>
      </c>
      <c r="E156">
        <v>30390.91</v>
      </c>
      <c r="F156">
        <v>1919.35</v>
      </c>
      <c r="G156">
        <v>760.16099999999994</v>
      </c>
      <c r="J156" s="1">
        <v>45107</v>
      </c>
      <c r="K156">
        <v>311.392</v>
      </c>
      <c r="L156">
        <v>204.29929999999999</v>
      </c>
      <c r="M156">
        <v>398.17559999999997</v>
      </c>
      <c r="N156">
        <v>27856.46</v>
      </c>
      <c r="O156">
        <v>1761.1</v>
      </c>
      <c r="P156">
        <v>136.64500000000001</v>
      </c>
      <c r="Q156">
        <v>0.91669999999999996</v>
      </c>
      <c r="R156">
        <f t="shared" si="2"/>
        <v>27859.347196999999</v>
      </c>
      <c r="T156" s="1">
        <v>45016</v>
      </c>
      <c r="U156">
        <v>28395.3</v>
      </c>
    </row>
    <row r="157" spans="1:21" x14ac:dyDescent="0.25">
      <c r="A157" s="1">
        <v>45138</v>
      </c>
      <c r="B157">
        <v>375.10300000000001</v>
      </c>
      <c r="C157">
        <v>539.42960000000005</v>
      </c>
      <c r="D157">
        <v>532.12310000000002</v>
      </c>
      <c r="E157">
        <v>29206.799999999999</v>
      </c>
      <c r="F157">
        <v>1965.09</v>
      </c>
      <c r="G157">
        <v>763.18799999999999</v>
      </c>
      <c r="J157" s="1">
        <v>45138</v>
      </c>
      <c r="K157">
        <v>319.41000000000003</v>
      </c>
      <c r="L157">
        <v>204.09350000000001</v>
      </c>
      <c r="M157">
        <v>404.63010000000003</v>
      </c>
      <c r="N157">
        <v>26575.73</v>
      </c>
      <c r="O157">
        <v>1784.62</v>
      </c>
      <c r="P157">
        <v>136.98599999999999</v>
      </c>
      <c r="Q157">
        <v>0.9093</v>
      </c>
      <c r="R157">
        <f t="shared" si="2"/>
        <v>26557.74324</v>
      </c>
      <c r="T157" s="1">
        <v>45046</v>
      </c>
      <c r="U157">
        <v>29347.96</v>
      </c>
    </row>
    <row r="158" spans="1:21" x14ac:dyDescent="0.25">
      <c r="A158" s="1">
        <v>45169</v>
      </c>
      <c r="B158">
        <v>364.62119999999999</v>
      </c>
      <c r="C158">
        <v>538.7518</v>
      </c>
      <c r="D158">
        <v>531.21109999999999</v>
      </c>
      <c r="E158">
        <v>26013.119999999999</v>
      </c>
      <c r="F158">
        <v>1940.19</v>
      </c>
      <c r="G158">
        <v>766.63400000000001</v>
      </c>
      <c r="J158" s="1">
        <v>45169</v>
      </c>
      <c r="K158">
        <v>315.40499999999997</v>
      </c>
      <c r="L158">
        <v>203.48500000000001</v>
      </c>
      <c r="M158">
        <v>403.21519999999998</v>
      </c>
      <c r="N158">
        <v>23990.61</v>
      </c>
      <c r="O158">
        <v>1789.19</v>
      </c>
      <c r="P158">
        <v>137.41300000000001</v>
      </c>
      <c r="Q158">
        <v>0.92220000000000002</v>
      </c>
      <c r="R158">
        <f t="shared" si="2"/>
        <v>23989.299264000001</v>
      </c>
      <c r="T158" s="1">
        <v>45077</v>
      </c>
      <c r="U158">
        <v>27117.1</v>
      </c>
    </row>
    <row r="159" spans="1:21" x14ac:dyDescent="0.25">
      <c r="A159" s="1">
        <v>45198</v>
      </c>
      <c r="B159">
        <v>349.54379999999998</v>
      </c>
      <c r="C159">
        <v>529.46100000000001</v>
      </c>
      <c r="D159">
        <v>525.58349999999996</v>
      </c>
      <c r="E159">
        <v>27072.54</v>
      </c>
      <c r="F159">
        <v>1848.63</v>
      </c>
      <c r="G159">
        <v>770.14700000000005</v>
      </c>
      <c r="J159" s="1">
        <v>45198</v>
      </c>
      <c r="K159">
        <v>309.959</v>
      </c>
      <c r="L159">
        <v>199.59020000000001</v>
      </c>
      <c r="M159">
        <v>398.21359999999999</v>
      </c>
      <c r="N159">
        <v>25445.72</v>
      </c>
      <c r="O159">
        <v>1748.54</v>
      </c>
      <c r="P159">
        <v>137.75399999999999</v>
      </c>
      <c r="Q159">
        <v>0.94579999999999997</v>
      </c>
      <c r="R159">
        <f t="shared" si="2"/>
        <v>25605.208331999998</v>
      </c>
      <c r="T159" s="1">
        <v>45107</v>
      </c>
      <c r="U159">
        <v>30390.91</v>
      </c>
    </row>
    <row r="160" spans="1:21" x14ac:dyDescent="0.25">
      <c r="A160" s="1">
        <v>45230</v>
      </c>
      <c r="B160">
        <v>339.03410000000002</v>
      </c>
      <c r="C160">
        <v>525.70169999999996</v>
      </c>
      <c r="D160">
        <v>520.93690000000004</v>
      </c>
      <c r="E160">
        <v>34650.559999999998</v>
      </c>
      <c r="F160">
        <v>1983.88</v>
      </c>
      <c r="G160">
        <v>773.58699999999999</v>
      </c>
      <c r="J160" s="1">
        <v>45230</v>
      </c>
      <c r="K160">
        <v>301.137</v>
      </c>
      <c r="L160">
        <v>197.9222</v>
      </c>
      <c r="M160">
        <v>394.18819999999999</v>
      </c>
      <c r="N160">
        <v>32769.83</v>
      </c>
      <c r="O160">
        <v>1875.97</v>
      </c>
      <c r="P160">
        <v>138.17099999999999</v>
      </c>
      <c r="Q160">
        <v>0.9456</v>
      </c>
      <c r="R160">
        <f t="shared" si="2"/>
        <v>32765.569535999999</v>
      </c>
      <c r="T160" s="1">
        <v>45138</v>
      </c>
      <c r="U160">
        <v>29206.799999999999</v>
      </c>
    </row>
    <row r="161" spans="1:21" x14ac:dyDescent="0.25">
      <c r="A161" s="1">
        <v>45260</v>
      </c>
      <c r="B161">
        <v>370.32549999999998</v>
      </c>
      <c r="C161">
        <v>543.77689999999996</v>
      </c>
      <c r="D161">
        <v>545.52549999999997</v>
      </c>
      <c r="E161">
        <v>37750.769999999997</v>
      </c>
      <c r="F161">
        <v>2036.41</v>
      </c>
      <c r="G161">
        <v>777.06</v>
      </c>
      <c r="J161" s="1">
        <v>45260</v>
      </c>
      <c r="K161">
        <v>318.65100000000001</v>
      </c>
      <c r="L161">
        <v>204.29040000000001</v>
      </c>
      <c r="M161">
        <v>411.8082</v>
      </c>
      <c r="N161">
        <v>34677.269999999997</v>
      </c>
      <c r="O161">
        <v>1870.27</v>
      </c>
      <c r="P161">
        <v>138.65100000000001</v>
      </c>
      <c r="Q161">
        <v>0.91839999999999999</v>
      </c>
      <c r="R161">
        <f t="shared" si="2"/>
        <v>34670.307167999999</v>
      </c>
      <c r="T161" s="1">
        <v>45169</v>
      </c>
      <c r="U161">
        <v>26013.119999999999</v>
      </c>
    </row>
    <row r="162" spans="1:21" x14ac:dyDescent="0.25">
      <c r="A162" s="1">
        <v>45289</v>
      </c>
      <c r="B162">
        <v>388.11369999999999</v>
      </c>
      <c r="C162">
        <v>561.15509999999995</v>
      </c>
      <c r="D162">
        <v>566.33019999999999</v>
      </c>
      <c r="E162">
        <v>42507.9</v>
      </c>
      <c r="F162">
        <v>2062.98</v>
      </c>
      <c r="G162">
        <v>780.68200000000002</v>
      </c>
      <c r="J162" s="1">
        <v>45289</v>
      </c>
      <c r="K162">
        <v>329.86099999999999</v>
      </c>
      <c r="L162">
        <v>210.46530000000001</v>
      </c>
      <c r="M162">
        <v>426.78309999999999</v>
      </c>
      <c r="N162">
        <v>38044.25</v>
      </c>
      <c r="O162">
        <v>1868.82</v>
      </c>
      <c r="P162">
        <v>139.12200000000001</v>
      </c>
      <c r="Q162">
        <v>0.90590000000000004</v>
      </c>
      <c r="R162">
        <f t="shared" si="2"/>
        <v>38507.906610000005</v>
      </c>
      <c r="T162" s="1">
        <v>45199</v>
      </c>
      <c r="U162">
        <v>27072.54</v>
      </c>
    </row>
    <row r="163" spans="1:21" x14ac:dyDescent="0.25">
      <c r="A163" s="1">
        <v>45322</v>
      </c>
      <c r="B163">
        <v>390.38900000000001</v>
      </c>
      <c r="C163">
        <v>560.05520000000001</v>
      </c>
      <c r="D163">
        <v>567.07129999999995</v>
      </c>
      <c r="E163">
        <v>42458.43</v>
      </c>
      <c r="F163">
        <v>2039.52</v>
      </c>
      <c r="G163">
        <v>784.01800000000003</v>
      </c>
      <c r="J163" s="1">
        <v>45322</v>
      </c>
      <c r="K163">
        <v>337.41500000000002</v>
      </c>
      <c r="L163">
        <v>209.78440000000001</v>
      </c>
      <c r="M163">
        <v>426.79899999999998</v>
      </c>
      <c r="N163">
        <v>39259.599999999999</v>
      </c>
      <c r="O163">
        <v>1884.97</v>
      </c>
      <c r="P163">
        <v>139.46</v>
      </c>
      <c r="Q163">
        <v>0.9244</v>
      </c>
      <c r="R163">
        <f t="shared" si="2"/>
        <v>39248.572692000002</v>
      </c>
      <c r="T163" s="1">
        <v>45230</v>
      </c>
      <c r="U163">
        <v>34650.559999999998</v>
      </c>
    </row>
    <row r="164" spans="1:21" x14ac:dyDescent="0.25">
      <c r="A164" s="1">
        <v>45351</v>
      </c>
      <c r="B164">
        <v>407.14190000000002</v>
      </c>
      <c r="C164">
        <v>556.21230000000003</v>
      </c>
      <c r="D164">
        <v>572.16399999999999</v>
      </c>
      <c r="E164">
        <v>61430.64</v>
      </c>
      <c r="F164">
        <v>2044.3</v>
      </c>
      <c r="G164">
        <v>787.23</v>
      </c>
      <c r="J164" s="1">
        <v>45351</v>
      </c>
      <c r="K164">
        <v>353.22800000000001</v>
      </c>
      <c r="L164">
        <v>208.0634</v>
      </c>
      <c r="M164">
        <v>430.0795</v>
      </c>
      <c r="N164">
        <v>56815.59</v>
      </c>
      <c r="O164">
        <v>1890.95</v>
      </c>
      <c r="P164">
        <v>139.88800000000001</v>
      </c>
      <c r="Q164">
        <v>0.92549999999999999</v>
      </c>
      <c r="R164">
        <f t="shared" si="2"/>
        <v>56854.05732</v>
      </c>
      <c r="T164" s="1">
        <v>45260</v>
      </c>
      <c r="U164">
        <v>37750.769999999997</v>
      </c>
    </row>
    <row r="165" spans="1:21" x14ac:dyDescent="0.25">
      <c r="A165" s="1">
        <v>45380</v>
      </c>
      <c r="B165">
        <v>419.9248</v>
      </c>
      <c r="C165">
        <v>561.22789999999998</v>
      </c>
      <c r="D165">
        <v>581.14970000000005</v>
      </c>
      <c r="E165">
        <v>70845.759999999995</v>
      </c>
      <c r="F165">
        <v>2229.87</v>
      </c>
      <c r="G165">
        <v>790.76499999999999</v>
      </c>
      <c r="J165" s="1">
        <v>45380</v>
      </c>
      <c r="K165">
        <v>365.04300000000001</v>
      </c>
      <c r="L165">
        <v>209.69460000000001</v>
      </c>
      <c r="M165">
        <v>436.3426</v>
      </c>
      <c r="N165">
        <v>64552.07</v>
      </c>
      <c r="O165">
        <v>2061.4699999999998</v>
      </c>
      <c r="P165">
        <v>140.31800000000001</v>
      </c>
      <c r="Q165">
        <v>0.92679999999999996</v>
      </c>
      <c r="R165">
        <f t="shared" si="2"/>
        <v>65659.850367999985</v>
      </c>
      <c r="T165" s="1">
        <v>45291</v>
      </c>
      <c r="U165">
        <v>42507.9</v>
      </c>
    </row>
    <row r="166" spans="1:21" x14ac:dyDescent="0.25">
      <c r="A166" s="1">
        <v>45412</v>
      </c>
      <c r="B166">
        <v>406.07029999999997</v>
      </c>
      <c r="C166">
        <v>552.19179999999994</v>
      </c>
      <c r="D166">
        <v>577.45230000000004</v>
      </c>
      <c r="E166">
        <v>59868.89</v>
      </c>
      <c r="F166">
        <v>2286.25</v>
      </c>
      <c r="G166">
        <v>794.15800000000002</v>
      </c>
      <c r="J166" s="1">
        <v>45412</v>
      </c>
      <c r="K166">
        <v>356.548</v>
      </c>
      <c r="L166">
        <v>206.0224</v>
      </c>
      <c r="M166">
        <v>432.9819</v>
      </c>
      <c r="N166">
        <v>56122.46</v>
      </c>
      <c r="O166">
        <v>2144.7600000000002</v>
      </c>
      <c r="P166">
        <v>140.72300000000001</v>
      </c>
      <c r="Q166">
        <v>0.93759999999999999</v>
      </c>
      <c r="R166">
        <f t="shared" si="2"/>
        <v>56133.071263999998</v>
      </c>
      <c r="T166" s="1">
        <v>45322</v>
      </c>
      <c r="U166">
        <v>42458.43</v>
      </c>
    </row>
    <row r="167" spans="1:21" x14ac:dyDescent="0.25">
      <c r="A167" s="1">
        <v>45443</v>
      </c>
      <c r="B167">
        <v>422.56220000000002</v>
      </c>
      <c r="C167">
        <v>557.0779</v>
      </c>
      <c r="D167">
        <v>584.51930000000004</v>
      </c>
      <c r="E167">
        <v>67630.41</v>
      </c>
      <c r="F167">
        <v>2327.33</v>
      </c>
      <c r="G167">
        <v>797.96900000000005</v>
      </c>
      <c r="J167" s="1">
        <v>45443</v>
      </c>
      <c r="K167">
        <v>365.44099999999997</v>
      </c>
      <c r="L167">
        <v>207.56739999999999</v>
      </c>
      <c r="M167">
        <v>437.69099999999997</v>
      </c>
      <c r="N167">
        <v>62346.75</v>
      </c>
      <c r="O167">
        <v>2147.48</v>
      </c>
      <c r="P167">
        <v>141.173</v>
      </c>
      <c r="Q167">
        <v>0.92179999999999995</v>
      </c>
      <c r="R167">
        <f t="shared" si="2"/>
        <v>62341.711938</v>
      </c>
      <c r="T167" s="1">
        <v>45351</v>
      </c>
      <c r="U167">
        <v>61430.64</v>
      </c>
    </row>
    <row r="168" spans="1:21" x14ac:dyDescent="0.25">
      <c r="A168" s="1">
        <v>45471</v>
      </c>
      <c r="B168">
        <v>431.97359999999998</v>
      </c>
      <c r="C168">
        <v>561.9117</v>
      </c>
      <c r="D168">
        <v>588.32230000000004</v>
      </c>
      <c r="E168">
        <v>61904.959999999999</v>
      </c>
      <c r="F168">
        <v>2326.75</v>
      </c>
      <c r="G168">
        <v>801.22299999999996</v>
      </c>
      <c r="J168" s="1">
        <v>45471</v>
      </c>
      <c r="K168">
        <v>378.40800000000002</v>
      </c>
      <c r="L168">
        <v>209.1242</v>
      </c>
      <c r="M168">
        <v>439.99680000000001</v>
      </c>
      <c r="N168">
        <v>56134.07</v>
      </c>
      <c r="O168">
        <v>2170.7800000000002</v>
      </c>
      <c r="P168">
        <v>141.63499999999999</v>
      </c>
      <c r="Q168">
        <v>0.93340000000000001</v>
      </c>
      <c r="R168">
        <f t="shared" si="2"/>
        <v>57782.089663999999</v>
      </c>
      <c r="T168" s="1">
        <v>45382</v>
      </c>
      <c r="U168">
        <v>70845.759999999995</v>
      </c>
    </row>
    <row r="169" spans="1:21" x14ac:dyDescent="0.25">
      <c r="A169" s="1">
        <v>45504</v>
      </c>
      <c r="B169">
        <v>438.94029999999998</v>
      </c>
      <c r="C169">
        <v>572.7672</v>
      </c>
      <c r="D169">
        <v>598.8655</v>
      </c>
      <c r="E169">
        <v>64559.96</v>
      </c>
      <c r="F169">
        <v>2447.6</v>
      </c>
      <c r="G169">
        <v>804.81200000000001</v>
      </c>
      <c r="J169" s="1">
        <v>45504</v>
      </c>
      <c r="K169">
        <v>380.83300000000003</v>
      </c>
      <c r="L169">
        <v>212.8288</v>
      </c>
      <c r="M169">
        <v>447.19159999999999</v>
      </c>
      <c r="N169">
        <v>59656.34</v>
      </c>
      <c r="O169">
        <v>2259.71</v>
      </c>
      <c r="P169">
        <v>142.07300000000001</v>
      </c>
      <c r="Q169">
        <v>0.92369999999999997</v>
      </c>
      <c r="R169">
        <f t="shared" si="2"/>
        <v>59634.035051999999</v>
      </c>
      <c r="T169" s="1">
        <v>45412</v>
      </c>
      <c r="U169">
        <v>59868.89</v>
      </c>
    </row>
    <row r="170" spans="1:21" x14ac:dyDescent="0.25">
      <c r="A170" s="1">
        <v>45534</v>
      </c>
      <c r="B170">
        <v>450.08780000000002</v>
      </c>
      <c r="C170">
        <v>579.04039999999998</v>
      </c>
      <c r="D170">
        <v>609.4511</v>
      </c>
      <c r="E170">
        <v>58954.67</v>
      </c>
      <c r="F170">
        <v>2503.39</v>
      </c>
      <c r="G170">
        <v>808.66200000000003</v>
      </c>
      <c r="J170" s="1">
        <v>45534</v>
      </c>
      <c r="K170">
        <v>381.755</v>
      </c>
      <c r="L170">
        <v>214.81059999999999</v>
      </c>
      <c r="M170">
        <v>454.31939999999997</v>
      </c>
      <c r="N170">
        <v>53469.43</v>
      </c>
      <c r="O170">
        <v>2264.69</v>
      </c>
      <c r="P170">
        <v>142.54400000000001</v>
      </c>
      <c r="Q170">
        <v>0.90510000000000002</v>
      </c>
      <c r="R170">
        <f t="shared" si="2"/>
        <v>53359.871816999999</v>
      </c>
      <c r="T170" s="1">
        <v>45443</v>
      </c>
      <c r="U170">
        <v>67630.41</v>
      </c>
    </row>
    <row r="171" spans="1:21" x14ac:dyDescent="0.25">
      <c r="A171" s="1">
        <v>45565</v>
      </c>
      <c r="B171">
        <v>460.54379999999998</v>
      </c>
      <c r="C171">
        <v>585.75959999999998</v>
      </c>
      <c r="D171">
        <v>620.40440000000001</v>
      </c>
      <c r="E171">
        <v>63785.09</v>
      </c>
      <c r="F171">
        <v>2634.58</v>
      </c>
      <c r="G171">
        <v>812.17</v>
      </c>
      <c r="J171" s="1">
        <v>45565</v>
      </c>
      <c r="K171">
        <v>387.42099999999999</v>
      </c>
      <c r="L171">
        <v>217.0043</v>
      </c>
      <c r="M171">
        <v>461.83800000000002</v>
      </c>
      <c r="N171">
        <v>57259.18</v>
      </c>
      <c r="O171">
        <v>2366.17</v>
      </c>
      <c r="P171">
        <v>143.00800000000001</v>
      </c>
      <c r="Q171">
        <v>0.89810000000000001</v>
      </c>
      <c r="R171">
        <f t="shared" si="2"/>
        <v>57285.389328999998</v>
      </c>
      <c r="T171" s="1">
        <v>45473</v>
      </c>
      <c r="U171">
        <v>61904.959999999999</v>
      </c>
    </row>
    <row r="172" spans="1:21" x14ac:dyDescent="0.25">
      <c r="A172" s="1">
        <v>45596</v>
      </c>
      <c r="B172">
        <v>450.20609999999999</v>
      </c>
      <c r="C172">
        <v>577.83299999999997</v>
      </c>
      <c r="D172">
        <v>619.99810000000002</v>
      </c>
      <c r="E172">
        <v>69937.509999999995</v>
      </c>
      <c r="F172">
        <v>2743.97</v>
      </c>
      <c r="G172">
        <v>815.255</v>
      </c>
      <c r="J172" s="1">
        <v>45596</v>
      </c>
      <c r="K172">
        <v>389.33</v>
      </c>
      <c r="L172">
        <v>213.66409999999999</v>
      </c>
      <c r="M172">
        <v>460.8107</v>
      </c>
      <c r="N172">
        <v>64244.5</v>
      </c>
      <c r="O172">
        <v>2521.09</v>
      </c>
      <c r="P172">
        <v>143.41499999999999</v>
      </c>
      <c r="Q172">
        <v>0.91879999999999995</v>
      </c>
      <c r="R172">
        <f t="shared" si="2"/>
        <v>64258.584187999993</v>
      </c>
      <c r="T172" s="1">
        <v>45504</v>
      </c>
      <c r="U172">
        <v>64559.96</v>
      </c>
    </row>
    <row r="173" spans="1:21" x14ac:dyDescent="0.25">
      <c r="A173" s="1">
        <v>45625</v>
      </c>
      <c r="B173">
        <v>467.0455</v>
      </c>
      <c r="C173">
        <v>584.69659999999999</v>
      </c>
      <c r="D173">
        <v>628.16250000000002</v>
      </c>
      <c r="E173">
        <v>96841.2</v>
      </c>
      <c r="F173">
        <v>2643.15</v>
      </c>
      <c r="G173">
        <v>818.37</v>
      </c>
      <c r="J173" s="1">
        <v>45625</v>
      </c>
      <c r="K173">
        <v>415.154</v>
      </c>
      <c r="L173">
        <v>215.9966</v>
      </c>
      <c r="M173">
        <v>466.42129999999997</v>
      </c>
      <c r="N173">
        <v>92151.81</v>
      </c>
      <c r="O173">
        <v>2493.19</v>
      </c>
      <c r="P173">
        <v>143.80500000000001</v>
      </c>
      <c r="Q173">
        <v>0.94550000000000001</v>
      </c>
      <c r="R173">
        <f t="shared" si="2"/>
        <v>91563.354599999991</v>
      </c>
      <c r="T173" s="1">
        <v>45535</v>
      </c>
      <c r="U173">
        <v>58954.67</v>
      </c>
    </row>
    <row r="174" spans="1:21" x14ac:dyDescent="0.25">
      <c r="A174" s="1">
        <v>45657</v>
      </c>
      <c r="B174">
        <v>455.98970000000003</v>
      </c>
      <c r="C174">
        <v>580.20960000000002</v>
      </c>
      <c r="D174">
        <v>626.99440000000004</v>
      </c>
      <c r="E174">
        <v>93714.04</v>
      </c>
      <c r="F174">
        <v>2624.5</v>
      </c>
      <c r="G174">
        <v>821.67899999999997</v>
      </c>
      <c r="J174" s="1">
        <v>45657</v>
      </c>
      <c r="K174">
        <v>413.42899999999997</v>
      </c>
      <c r="L174">
        <v>213.9915</v>
      </c>
      <c r="M174">
        <v>464.83659999999998</v>
      </c>
      <c r="N174">
        <v>90513.13</v>
      </c>
      <c r="O174">
        <v>2534.79</v>
      </c>
      <c r="P174">
        <v>144.166</v>
      </c>
      <c r="Q174">
        <v>0.96589999999999998</v>
      </c>
      <c r="R174">
        <f t="shared" si="2"/>
        <v>90518.391235999996</v>
      </c>
      <c r="T174" s="1">
        <v>45565</v>
      </c>
      <c r="U174">
        <v>63785.09</v>
      </c>
    </row>
    <row r="175" spans="1:21" x14ac:dyDescent="0.25">
      <c r="A175" s="1">
        <v>45688</v>
      </c>
      <c r="B175">
        <v>471.2955</v>
      </c>
      <c r="C175">
        <v>582.45759999999996</v>
      </c>
      <c r="D175">
        <v>635.42280000000005</v>
      </c>
      <c r="E175">
        <v>102110.01</v>
      </c>
      <c r="F175">
        <v>2798.41</v>
      </c>
      <c r="G175">
        <v>824.70399999999995</v>
      </c>
      <c r="J175" s="1">
        <v>45688</v>
      </c>
      <c r="K175">
        <v>425.642</v>
      </c>
      <c r="L175">
        <v>214.54740000000001</v>
      </c>
      <c r="M175">
        <v>470.47719999999998</v>
      </c>
      <c r="N175">
        <v>98607.69</v>
      </c>
      <c r="O175">
        <v>2701.83</v>
      </c>
      <c r="P175">
        <v>144.47</v>
      </c>
      <c r="Q175">
        <v>0.96499999999999997</v>
      </c>
      <c r="R175">
        <f t="shared" si="2"/>
        <v>98536.159649999987</v>
      </c>
      <c r="T175" s="1">
        <v>45596</v>
      </c>
      <c r="U175">
        <v>69937.509999999995</v>
      </c>
    </row>
    <row r="176" spans="1:21" x14ac:dyDescent="0.25">
      <c r="A176" s="1">
        <v>45716</v>
      </c>
      <c r="B176">
        <v>468.45620000000002</v>
      </c>
      <c r="C176">
        <v>589.47109999999998</v>
      </c>
      <c r="D176">
        <v>640.37210000000005</v>
      </c>
      <c r="E176">
        <v>84212.07</v>
      </c>
      <c r="F176">
        <v>2857.83</v>
      </c>
      <c r="G176">
        <v>827.32299999999998</v>
      </c>
      <c r="J176" s="1">
        <v>45716</v>
      </c>
      <c r="K176">
        <v>422.89400000000001</v>
      </c>
      <c r="L176">
        <v>216.85749999999999</v>
      </c>
      <c r="M176">
        <v>473.54239999999999</v>
      </c>
      <c r="N176">
        <v>81171.75</v>
      </c>
      <c r="O176">
        <v>2754.6</v>
      </c>
      <c r="P176">
        <v>144.81100000000001</v>
      </c>
      <c r="Q176">
        <v>0.96379999999999999</v>
      </c>
      <c r="R176">
        <f t="shared" si="2"/>
        <v>81163.593066000001</v>
      </c>
      <c r="T176" s="1">
        <v>45626</v>
      </c>
      <c r="U176">
        <v>96841.2</v>
      </c>
    </row>
    <row r="177" spans="1:21" x14ac:dyDescent="0.25">
      <c r="A177" s="1">
        <v>45747</v>
      </c>
      <c r="B177">
        <v>449.95</v>
      </c>
      <c r="C177">
        <v>587.01139999999998</v>
      </c>
      <c r="D177">
        <v>634.33550000000002</v>
      </c>
      <c r="E177">
        <v>82421.289999999994</v>
      </c>
      <c r="F177">
        <v>3123.57</v>
      </c>
      <c r="G177">
        <v>830.08500000000004</v>
      </c>
      <c r="J177" s="1">
        <v>45747</v>
      </c>
      <c r="K177">
        <v>391.072</v>
      </c>
      <c r="L177">
        <v>215.6985</v>
      </c>
      <c r="M177">
        <v>468.65370000000001</v>
      </c>
      <c r="N177">
        <v>76181.64</v>
      </c>
      <c r="O177">
        <v>2888.42</v>
      </c>
      <c r="P177">
        <v>145.083</v>
      </c>
      <c r="Q177">
        <v>0.92449999999999999</v>
      </c>
      <c r="R177">
        <f t="shared" si="2"/>
        <v>76198.482604999997</v>
      </c>
      <c r="T177" s="1">
        <v>45657</v>
      </c>
      <c r="U177">
        <v>93714.04</v>
      </c>
    </row>
    <row r="178" spans="1:21" x14ac:dyDescent="0.25">
      <c r="A178" s="1">
        <v>45777</v>
      </c>
      <c r="B178">
        <v>454.1465</v>
      </c>
      <c r="C178">
        <v>592.79089999999997</v>
      </c>
      <c r="D178">
        <v>634.18640000000005</v>
      </c>
      <c r="E178">
        <v>94581.18</v>
      </c>
      <c r="F178">
        <v>3288.71</v>
      </c>
      <c r="G178">
        <v>832.94100000000003</v>
      </c>
      <c r="J178" s="1">
        <v>45777</v>
      </c>
      <c r="K178">
        <v>375.08300000000003</v>
      </c>
      <c r="L178">
        <v>217.3715</v>
      </c>
      <c r="M178">
        <v>467.8553</v>
      </c>
      <c r="N178">
        <v>83468.63</v>
      </c>
      <c r="O178">
        <v>2904.19</v>
      </c>
      <c r="P178">
        <v>145.47</v>
      </c>
      <c r="Q178">
        <v>0.88270000000000004</v>
      </c>
      <c r="R178">
        <f t="shared" si="2"/>
        <v>83486.807585999995</v>
      </c>
      <c r="T178" s="1">
        <v>45688</v>
      </c>
      <c r="U178">
        <v>102110.01</v>
      </c>
    </row>
    <row r="179" spans="1:21" x14ac:dyDescent="0.25">
      <c r="A179" s="1">
        <v>45807</v>
      </c>
      <c r="B179">
        <v>480.25029999999998</v>
      </c>
      <c r="C179">
        <v>590.83119999999997</v>
      </c>
      <c r="D179">
        <v>644.86580000000004</v>
      </c>
      <c r="E179">
        <v>104834.41</v>
      </c>
      <c r="F179">
        <v>3289.25</v>
      </c>
      <c r="G179">
        <v>835.96900000000005</v>
      </c>
      <c r="J179" s="1">
        <v>45807</v>
      </c>
      <c r="K179">
        <v>397.166</v>
      </c>
      <c r="L179">
        <v>216.27019999999999</v>
      </c>
      <c r="M179">
        <v>474.9187</v>
      </c>
      <c r="N179">
        <v>92170.559999999998</v>
      </c>
      <c r="O179">
        <v>2898.72</v>
      </c>
      <c r="P179">
        <v>145.685</v>
      </c>
      <c r="Q179">
        <v>0.88129999999999997</v>
      </c>
      <c r="R179">
        <f t="shared" si="2"/>
        <v>92390.565533000001</v>
      </c>
      <c r="T179" s="1">
        <v>45716</v>
      </c>
      <c r="U179">
        <v>84212.07</v>
      </c>
    </row>
    <row r="180" spans="1:21" x14ac:dyDescent="0.25">
      <c r="A180" s="1">
        <v>45838</v>
      </c>
      <c r="B180">
        <v>501.8141</v>
      </c>
      <c r="C180">
        <v>596.48919999999998</v>
      </c>
      <c r="D180">
        <v>656.1585</v>
      </c>
      <c r="E180">
        <v>107606.61</v>
      </c>
      <c r="F180">
        <v>3303.14</v>
      </c>
      <c r="G180">
        <v>838.71799999999996</v>
      </c>
      <c r="J180" s="1">
        <v>45838</v>
      </c>
      <c r="K180">
        <v>401.35300000000001</v>
      </c>
      <c r="L180">
        <v>217.89789999999999</v>
      </c>
      <c r="M180">
        <v>482.17169999999999</v>
      </c>
      <c r="N180">
        <v>91283.7</v>
      </c>
      <c r="O180">
        <v>2801.92</v>
      </c>
      <c r="P180">
        <v>145.90100000000001</v>
      </c>
      <c r="Q180">
        <v>0.84840000000000004</v>
      </c>
      <c r="R180">
        <f t="shared" si="2"/>
        <v>91293.447924000007</v>
      </c>
      <c r="T180" s="1">
        <v>45747</v>
      </c>
      <c r="U180">
        <v>82421.289999999994</v>
      </c>
    </row>
    <row r="181" spans="1:21" x14ac:dyDescent="0.25">
      <c r="A181" s="1">
        <v>45869</v>
      </c>
      <c r="B181">
        <v>508.61959999999999</v>
      </c>
      <c r="C181">
        <v>596.01189999999997</v>
      </c>
      <c r="D181">
        <v>662.10029999999995</v>
      </c>
      <c r="E181">
        <v>116491.12</v>
      </c>
      <c r="F181">
        <v>3289.93</v>
      </c>
      <c r="G181">
        <v>841.61300000000006</v>
      </c>
      <c r="J181" s="1">
        <v>45869</v>
      </c>
      <c r="K181">
        <v>417.21</v>
      </c>
      <c r="L181">
        <v>217.21979999999999</v>
      </c>
      <c r="M181">
        <v>485.51769999999999</v>
      </c>
      <c r="N181">
        <v>102021.81</v>
      </c>
      <c r="O181">
        <v>2882.11</v>
      </c>
      <c r="P181">
        <v>146.09800000000001</v>
      </c>
      <c r="Q181">
        <v>0.876</v>
      </c>
      <c r="R181">
        <f t="shared" si="2"/>
        <v>102046.22112</v>
      </c>
      <c r="T181" s="1">
        <v>45777</v>
      </c>
      <c r="U181">
        <v>94581.18</v>
      </c>
    </row>
    <row r="182" spans="1:21" x14ac:dyDescent="0.25">
      <c r="A182" s="1">
        <v>45898</v>
      </c>
      <c r="B182">
        <v>521.17790000000002</v>
      </c>
      <c r="C182">
        <v>599.27790000000005</v>
      </c>
      <c r="D182">
        <v>669.67489999999998</v>
      </c>
      <c r="E182">
        <v>109127.01</v>
      </c>
      <c r="F182">
        <v>3447.95</v>
      </c>
      <c r="G182">
        <v>844.92</v>
      </c>
      <c r="J182" s="1">
        <v>45898</v>
      </c>
      <c r="K182">
        <v>418.03300000000002</v>
      </c>
      <c r="L182">
        <v>217.98439999999999</v>
      </c>
      <c r="M182">
        <v>490.0754</v>
      </c>
      <c r="N182">
        <v>92290.7</v>
      </c>
      <c r="O182">
        <v>2950.58</v>
      </c>
      <c r="P182">
        <v>146.31299999999999</v>
      </c>
      <c r="Q182">
        <v>0.85580000000000001</v>
      </c>
      <c r="R182">
        <f t="shared" si="2"/>
        <v>93390.895157999999</v>
      </c>
      <c r="T182" s="1">
        <v>45808</v>
      </c>
      <c r="U182">
        <v>104834.41</v>
      </c>
    </row>
    <row r="183" spans="1:21" x14ac:dyDescent="0.25">
      <c r="A183" s="1">
        <v>45930</v>
      </c>
      <c r="B183">
        <v>540.06640000000004</v>
      </c>
      <c r="C183">
        <v>603.69209999999998</v>
      </c>
      <c r="D183">
        <v>673.97080000000005</v>
      </c>
      <c r="E183">
        <v>114640.81</v>
      </c>
      <c r="F183">
        <v>3858.96</v>
      </c>
      <c r="G183">
        <v>847.74900000000002</v>
      </c>
      <c r="J183" s="1">
        <v>45930</v>
      </c>
      <c r="K183">
        <v>431.52499999999998</v>
      </c>
      <c r="L183">
        <v>219.16659999999999</v>
      </c>
      <c r="M183">
        <v>492.27069999999998</v>
      </c>
      <c r="N183">
        <v>97722.53</v>
      </c>
      <c r="O183">
        <v>3288.84</v>
      </c>
      <c r="P183">
        <v>146.53399999999999</v>
      </c>
      <c r="Q183">
        <v>0.85229999999999995</v>
      </c>
      <c r="R183">
        <f t="shared" si="2"/>
        <v>97708.362362999993</v>
      </c>
      <c r="T183" s="1">
        <v>45838</v>
      </c>
      <c r="U183">
        <v>107606.61</v>
      </c>
    </row>
    <row r="184" spans="1:21" x14ac:dyDescent="0.25">
      <c r="A184" s="1">
        <v>45961</v>
      </c>
      <c r="B184">
        <v>552.14549999999997</v>
      </c>
      <c r="C184">
        <v>608.4579</v>
      </c>
      <c r="D184">
        <v>681.22220000000004</v>
      </c>
      <c r="E184">
        <v>109428.01</v>
      </c>
      <c r="F184">
        <v>4002.92</v>
      </c>
      <c r="G184">
        <v>850.67700000000002</v>
      </c>
      <c r="J184" s="1">
        <v>45961</v>
      </c>
      <c r="K184">
        <v>449.12599999999998</v>
      </c>
      <c r="L184">
        <v>220.47380000000001</v>
      </c>
      <c r="M184">
        <v>496.62380000000002</v>
      </c>
      <c r="N184">
        <v>94838.83</v>
      </c>
      <c r="O184">
        <v>3470.04</v>
      </c>
      <c r="P184">
        <v>146.79300000000001</v>
      </c>
      <c r="Q184">
        <v>0.86680000000000001</v>
      </c>
      <c r="R184">
        <f t="shared" si="2"/>
        <v>94852.199068000002</v>
      </c>
      <c r="T184" s="1">
        <v>45869</v>
      </c>
      <c r="U184">
        <v>116491.12</v>
      </c>
    </row>
    <row r="185" spans="1:21" x14ac:dyDescent="0.25">
      <c r="A185" s="1">
        <v>45989</v>
      </c>
      <c r="B185">
        <v>552.08420000000001</v>
      </c>
      <c r="C185">
        <v>609.73699999999997</v>
      </c>
      <c r="D185">
        <v>684.46669999999995</v>
      </c>
      <c r="E185">
        <v>91176.49</v>
      </c>
      <c r="F185">
        <v>4239.43</v>
      </c>
      <c r="G185">
        <v>853.03399999999999</v>
      </c>
      <c r="J185" s="1">
        <v>45989</v>
      </c>
      <c r="K185">
        <v>446.61900000000003</v>
      </c>
      <c r="L185">
        <v>220.59039999999999</v>
      </c>
      <c r="M185">
        <v>498.20440000000002</v>
      </c>
      <c r="N185">
        <v>78399.59</v>
      </c>
      <c r="O185">
        <v>3625.69</v>
      </c>
      <c r="P185">
        <v>146.96299999999999</v>
      </c>
      <c r="Q185">
        <v>0.86219999999999997</v>
      </c>
      <c r="T185" s="1">
        <v>45900</v>
      </c>
      <c r="U185">
        <v>109127.01</v>
      </c>
    </row>
    <row r="186" spans="1:21" x14ac:dyDescent="0.25">
      <c r="A186" s="1">
        <v>46022</v>
      </c>
      <c r="B186">
        <v>557.846</v>
      </c>
      <c r="C186">
        <v>608.42970000000003</v>
      </c>
      <c r="D186">
        <v>689.82050000000004</v>
      </c>
      <c r="E186">
        <v>87647.54</v>
      </c>
      <c r="F186">
        <v>4319.37</v>
      </c>
      <c r="G186">
        <v>856.00699999999995</v>
      </c>
      <c r="J186" s="1">
        <v>46022</v>
      </c>
      <c r="K186">
        <v>445.94</v>
      </c>
      <c r="L186">
        <v>219.7193</v>
      </c>
      <c r="M186">
        <v>501.15199999999999</v>
      </c>
      <c r="N186">
        <v>74597.78</v>
      </c>
      <c r="O186">
        <v>3677.18</v>
      </c>
      <c r="P186">
        <v>147.21700000000001</v>
      </c>
      <c r="Q186">
        <v>0.85140000000000005</v>
      </c>
      <c r="T186" s="1">
        <v>45930</v>
      </c>
      <c r="U186">
        <v>114640.81</v>
      </c>
    </row>
    <row r="187" spans="1:21" x14ac:dyDescent="0.25">
      <c r="A187" s="1">
        <v>46052</v>
      </c>
      <c r="B187">
        <v>574.38300000000004</v>
      </c>
      <c r="C187">
        <v>609.90049999999997</v>
      </c>
      <c r="D187">
        <v>695.01409999999998</v>
      </c>
      <c r="E187">
        <v>78197.320000000007</v>
      </c>
      <c r="F187">
        <v>4894.2299999999996</v>
      </c>
      <c r="G187">
        <v>858.46400000000006</v>
      </c>
      <c r="J187" s="1">
        <v>46052</v>
      </c>
      <c r="K187">
        <v>453.29300000000001</v>
      </c>
      <c r="L187">
        <v>219.95160000000001</v>
      </c>
      <c r="M187">
        <v>504.22120000000001</v>
      </c>
      <c r="N187">
        <v>71053.25</v>
      </c>
      <c r="O187">
        <v>4120.88</v>
      </c>
      <c r="P187">
        <v>147.45099999999999</v>
      </c>
      <c r="Q187">
        <v>0.84379999999999999</v>
      </c>
      <c r="T187" s="1">
        <v>45961</v>
      </c>
      <c r="U187">
        <v>109428.01</v>
      </c>
    </row>
    <row r="188" spans="1:21" x14ac:dyDescent="0.25">
      <c r="A188" s="1">
        <v>46080</v>
      </c>
      <c r="B188">
        <v>581.76700000000005</v>
      </c>
      <c r="C188">
        <v>618.47379999999998</v>
      </c>
      <c r="D188">
        <v>697.74519999999995</v>
      </c>
      <c r="E188">
        <v>66723.7</v>
      </c>
      <c r="F188">
        <v>5278.93</v>
      </c>
      <c r="G188">
        <v>860.78</v>
      </c>
      <c r="J188" s="1">
        <v>46080</v>
      </c>
      <c r="K188">
        <v>462.6</v>
      </c>
      <c r="L188">
        <v>222.76939999999999</v>
      </c>
      <c r="M188">
        <v>505.52730000000003</v>
      </c>
      <c r="N188">
        <v>55485.09</v>
      </c>
      <c r="O188">
        <v>4467.43</v>
      </c>
      <c r="P188">
        <v>147.69200000000001</v>
      </c>
      <c r="Q188">
        <v>0.84660000000000002</v>
      </c>
      <c r="T188" s="1">
        <v>45991</v>
      </c>
      <c r="U188">
        <v>91176.49</v>
      </c>
    </row>
    <row r="189" spans="1:21" x14ac:dyDescent="0.25">
      <c r="A189" s="1">
        <v>46112</v>
      </c>
      <c r="B189">
        <v>539.98620000000005</v>
      </c>
      <c r="C189">
        <v>607.49570000000006</v>
      </c>
      <c r="D189">
        <v>683.82129999999995</v>
      </c>
      <c r="E189">
        <v>68193.95</v>
      </c>
      <c r="F189">
        <v>4668.0600000000004</v>
      </c>
      <c r="G189">
        <v>863.27800000000002</v>
      </c>
      <c r="J189" s="1">
        <v>46112</v>
      </c>
      <c r="K189">
        <v>439.99799999999999</v>
      </c>
      <c r="L189">
        <v>218.3759</v>
      </c>
      <c r="M189">
        <v>494.38819999999998</v>
      </c>
      <c r="N189">
        <v>59035.67</v>
      </c>
      <c r="O189">
        <v>4041.46</v>
      </c>
      <c r="P189">
        <v>147.749</v>
      </c>
      <c r="Q189">
        <v>0.86560000000000004</v>
      </c>
      <c r="T189" s="1">
        <v>46022</v>
      </c>
      <c r="U189">
        <v>87647.54</v>
      </c>
    </row>
    <row r="190" spans="1:21" x14ac:dyDescent="0.25">
      <c r="A190" s="1">
        <v>46142</v>
      </c>
      <c r="B190">
        <v>594.92200000000003</v>
      </c>
      <c r="C190">
        <v>609.31939999999997</v>
      </c>
      <c r="D190">
        <v>699.16729999999995</v>
      </c>
      <c r="E190">
        <v>76466.34</v>
      </c>
      <c r="F190">
        <v>4617.8500000000004</v>
      </c>
      <c r="G190">
        <v>865.80600000000004</v>
      </c>
      <c r="J190" s="1">
        <v>46142</v>
      </c>
      <c r="K190">
        <v>476.14600000000002</v>
      </c>
      <c r="L190">
        <v>218.6919</v>
      </c>
      <c r="M190">
        <v>504.56130000000002</v>
      </c>
      <c r="N190">
        <v>65213.599999999999</v>
      </c>
      <c r="O190">
        <v>3940.03</v>
      </c>
      <c r="P190">
        <v>148.09100000000001</v>
      </c>
      <c r="Q190">
        <v>0.85240000000000005</v>
      </c>
      <c r="T190" s="1">
        <v>46053</v>
      </c>
      <c r="U190">
        <v>78197.320000000007</v>
      </c>
    </row>
    <row r="191" spans="1:21" x14ac:dyDescent="0.25">
      <c r="A191" s="1">
        <v>46171</v>
      </c>
      <c r="B191">
        <v>625.61789999999996</v>
      </c>
      <c r="C191">
        <v>613.1173</v>
      </c>
      <c r="D191">
        <v>704.94880000000001</v>
      </c>
      <c r="E191">
        <v>73636.479999999996</v>
      </c>
      <c r="F191">
        <v>4540.26</v>
      </c>
      <c r="G191">
        <v>868.42100000000005</v>
      </c>
      <c r="J191" s="1">
        <v>46171</v>
      </c>
      <c r="K191">
        <v>503.33</v>
      </c>
      <c r="L191">
        <v>219.76900000000001</v>
      </c>
      <c r="M191">
        <v>508.07260000000002</v>
      </c>
      <c r="N191">
        <v>63108.83</v>
      </c>
      <c r="O191">
        <v>3893.41</v>
      </c>
      <c r="P191">
        <v>148.36199999999999</v>
      </c>
      <c r="Q191">
        <v>0.85770000000000002</v>
      </c>
      <c r="T191" s="1">
        <v>46081</v>
      </c>
      <c r="U191">
        <v>66723.7</v>
      </c>
    </row>
    <row r="192" spans="1:21" x14ac:dyDescent="0.25">
      <c r="A192" s="1">
        <v>46203</v>
      </c>
      <c r="B192">
        <v>620.59960000000001</v>
      </c>
      <c r="C192">
        <v>615.39940000000001</v>
      </c>
      <c r="D192">
        <v>709.24069999999995</v>
      </c>
      <c r="E192">
        <v>58642.15</v>
      </c>
      <c r="F192">
        <v>4008.02</v>
      </c>
      <c r="G192">
        <v>870.91899999999998</v>
      </c>
      <c r="J192" s="1">
        <v>46203</v>
      </c>
      <c r="K192">
        <v>509.62099999999998</v>
      </c>
      <c r="L192">
        <v>220.29740000000001</v>
      </c>
      <c r="M192">
        <v>510.50029999999998</v>
      </c>
      <c r="N192">
        <v>51358.06</v>
      </c>
      <c r="O192">
        <v>3508.4</v>
      </c>
      <c r="P192">
        <v>148.60599999999999</v>
      </c>
      <c r="Q192">
        <v>0.87549999999999994</v>
      </c>
      <c r="T192" s="1">
        <v>46112</v>
      </c>
      <c r="U192">
        <v>68193.95</v>
      </c>
    </row>
    <row r="193" spans="20:21" x14ac:dyDescent="0.25">
      <c r="T193" s="1">
        <v>46142</v>
      </c>
      <c r="U193">
        <v>76466.34</v>
      </c>
    </row>
    <row r="194" spans="20:21" x14ac:dyDescent="0.25">
      <c r="T194" s="1">
        <v>46173</v>
      </c>
      <c r="U194">
        <v>73636.479999999996</v>
      </c>
    </row>
    <row r="195" spans="20:21" x14ac:dyDescent="0.25">
      <c r="T195" s="1">
        <v>46203</v>
      </c>
      <c r="U195">
        <v>58642.15</v>
      </c>
    </row>
    <row r="196" spans="20:21" x14ac:dyDescent="0.25">
      <c r="T196" s="1"/>
    </row>
    <row r="197" spans="20:21" x14ac:dyDescent="0.25">
      <c r="T197" s="1"/>
    </row>
    <row r="198" spans="20:21" x14ac:dyDescent="0.25">
      <c r="T198" s="1"/>
    </row>
    <row r="199" spans="20:21" x14ac:dyDescent="0.25">
      <c r="T199" s="1"/>
    </row>
    <row r="200" spans="20:21" x14ac:dyDescent="0.25">
      <c r="T200" s="1"/>
    </row>
    <row r="201" spans="20:21" x14ac:dyDescent="0.25">
      <c r="T201" s="1"/>
    </row>
    <row r="202" spans="20:21" x14ac:dyDescent="0.25">
      <c r="T202" s="1"/>
    </row>
    <row r="203" spans="20:21" x14ac:dyDescent="0.25">
      <c r="T203" s="1"/>
    </row>
    <row r="204" spans="20:21" x14ac:dyDescent="0.25">
      <c r="T204" s="1"/>
    </row>
    <row r="205" spans="20:21" x14ac:dyDescent="0.25">
      <c r="T205" s="1"/>
    </row>
    <row r="206" spans="20:21" x14ac:dyDescent="0.25">
      <c r="T206" s="1"/>
    </row>
    <row r="207" spans="20:21" x14ac:dyDescent="0.25">
      <c r="T207" s="1"/>
    </row>
    <row r="208" spans="20:21" x14ac:dyDescent="0.25">
      <c r="T208" s="1"/>
    </row>
    <row r="209" spans="20:20" x14ac:dyDescent="0.25">
      <c r="T209" s="1"/>
    </row>
    <row r="210" spans="20:20" x14ac:dyDescent="0.25">
      <c r="T210" s="1"/>
    </row>
    <row r="211" spans="20:20" x14ac:dyDescent="0.25">
      <c r="T211" s="1"/>
    </row>
    <row r="212" spans="20:20" x14ac:dyDescent="0.25">
      <c r="T212" s="1"/>
    </row>
    <row r="213" spans="20:20" x14ac:dyDescent="0.25">
      <c r="T213" s="1"/>
    </row>
    <row r="214" spans="20:20" x14ac:dyDescent="0.25">
      <c r="T214" s="1"/>
    </row>
    <row r="215" spans="20:20" x14ac:dyDescent="0.25">
      <c r="T215" s="1"/>
    </row>
    <row r="216" spans="20:20" x14ac:dyDescent="0.25">
      <c r="T216" s="1"/>
    </row>
    <row r="217" spans="20:20" x14ac:dyDescent="0.25">
      <c r="T217" s="1"/>
    </row>
    <row r="218" spans="20:20" x14ac:dyDescent="0.25">
      <c r="T218" s="1"/>
    </row>
    <row r="219" spans="20:20" x14ac:dyDescent="0.25">
      <c r="T219" s="1"/>
    </row>
    <row r="220" spans="20:20" x14ac:dyDescent="0.25">
      <c r="T220" s="1"/>
    </row>
    <row r="221" spans="20:20" x14ac:dyDescent="0.25">
      <c r="T221" s="1"/>
    </row>
    <row r="222" spans="20:20" x14ac:dyDescent="0.25">
      <c r="T222" s="1"/>
    </row>
    <row r="223" spans="20:20" x14ac:dyDescent="0.25">
      <c r="T223" s="1"/>
    </row>
    <row r="224" spans="20:20" x14ac:dyDescent="0.25">
      <c r="T224" s="1"/>
    </row>
    <row r="225" spans="20:20" x14ac:dyDescent="0.25">
      <c r="T225" s="1"/>
    </row>
    <row r="226" spans="20:20" x14ac:dyDescent="0.25">
      <c r="T226" s="1"/>
    </row>
    <row r="227" spans="20:20" x14ac:dyDescent="0.25">
      <c r="T227" s="1"/>
    </row>
    <row r="228" spans="20:20" x14ac:dyDescent="0.25">
      <c r="T228" s="1"/>
    </row>
    <row r="229" spans="20:20" x14ac:dyDescent="0.25">
      <c r="T229" s="1"/>
    </row>
    <row r="230" spans="20:20" x14ac:dyDescent="0.25">
      <c r="T230" s="1"/>
    </row>
    <row r="231" spans="20:20" x14ac:dyDescent="0.25">
      <c r="T231" s="1"/>
    </row>
    <row r="232" spans="20:20" x14ac:dyDescent="0.25">
      <c r="T232" s="1"/>
    </row>
    <row r="233" spans="20:20" x14ac:dyDescent="0.25">
      <c r="T233" s="1"/>
    </row>
    <row r="234" spans="20:20" x14ac:dyDescent="0.25">
      <c r="T234" s="1"/>
    </row>
    <row r="235" spans="20:20" x14ac:dyDescent="0.25">
      <c r="T235" s="1"/>
    </row>
    <row r="236" spans="20:20" x14ac:dyDescent="0.25">
      <c r="T236" s="1"/>
    </row>
    <row r="237" spans="20:20" x14ac:dyDescent="0.25">
      <c r="T237" s="1"/>
    </row>
    <row r="238" spans="20:20" x14ac:dyDescent="0.25">
      <c r="T238" s="1"/>
    </row>
    <row r="239" spans="20:20" x14ac:dyDescent="0.25">
      <c r="T239" s="1"/>
    </row>
    <row r="240" spans="20:20" x14ac:dyDescent="0.25">
      <c r="T240" s="1"/>
    </row>
    <row r="241" spans="20:20" x14ac:dyDescent="0.25">
      <c r="T241" s="1"/>
    </row>
    <row r="242" spans="20:20" x14ac:dyDescent="0.25">
      <c r="T242" s="1"/>
    </row>
    <row r="243" spans="20:20" x14ac:dyDescent="0.25">
      <c r="T243" s="1"/>
    </row>
    <row r="244" spans="20:20" x14ac:dyDescent="0.25">
      <c r="T244" s="1"/>
    </row>
    <row r="245" spans="20:20" x14ac:dyDescent="0.25">
      <c r="T245" s="1"/>
    </row>
    <row r="246" spans="20:20" x14ac:dyDescent="0.25">
      <c r="T246" s="1"/>
    </row>
    <row r="247" spans="20:20" x14ac:dyDescent="0.25">
      <c r="T247" s="1"/>
    </row>
    <row r="248" spans="20:20" x14ac:dyDescent="0.25">
      <c r="T248" s="1"/>
    </row>
    <row r="249" spans="20:20" x14ac:dyDescent="0.25">
      <c r="T249" s="1"/>
    </row>
    <row r="250" spans="20:20" x14ac:dyDescent="0.25">
      <c r="T250" s="1"/>
    </row>
    <row r="251" spans="20:20" x14ac:dyDescent="0.25">
      <c r="T251" s="1"/>
    </row>
    <row r="252" spans="20:20" x14ac:dyDescent="0.25">
      <c r="T252" s="1"/>
    </row>
    <row r="253" spans="20:20" x14ac:dyDescent="0.25">
      <c r="T253" s="1"/>
    </row>
    <row r="254" spans="20:20" x14ac:dyDescent="0.25">
      <c r="T254" s="1"/>
    </row>
    <row r="255" spans="20:20" x14ac:dyDescent="0.25">
      <c r="T255" s="1"/>
    </row>
    <row r="256" spans="20:20" x14ac:dyDescent="0.25">
      <c r="T256" s="1"/>
    </row>
    <row r="257" spans="20:20" x14ac:dyDescent="0.25">
      <c r="T257" s="1"/>
    </row>
    <row r="258" spans="20:20" x14ac:dyDescent="0.25">
      <c r="T258" s="1"/>
    </row>
    <row r="259" spans="20:20" x14ac:dyDescent="0.25">
      <c r="T259" s="1"/>
    </row>
    <row r="260" spans="20:20" x14ac:dyDescent="0.25">
      <c r="T260" s="1"/>
    </row>
    <row r="261" spans="20:20" x14ac:dyDescent="0.25">
      <c r="T261" s="1"/>
    </row>
    <row r="262" spans="20:20" x14ac:dyDescent="0.25">
      <c r="T262" s="1"/>
    </row>
    <row r="263" spans="20:20" x14ac:dyDescent="0.25">
      <c r="T263" s="1"/>
    </row>
    <row r="264" spans="20:20" x14ac:dyDescent="0.25">
      <c r="T264" s="1"/>
    </row>
    <row r="265" spans="20:20" x14ac:dyDescent="0.25">
      <c r="T265" s="1"/>
    </row>
    <row r="266" spans="20:20" x14ac:dyDescent="0.25">
      <c r="T266" s="1"/>
    </row>
    <row r="267" spans="20:20" x14ac:dyDescent="0.25">
      <c r="T267" s="1"/>
    </row>
    <row r="268" spans="20:20" x14ac:dyDescent="0.25">
      <c r="T268" s="1"/>
    </row>
    <row r="269" spans="20:20" x14ac:dyDescent="0.25">
      <c r="T269" s="1"/>
    </row>
    <row r="270" spans="20:20" x14ac:dyDescent="0.25">
      <c r="T270" s="1"/>
    </row>
    <row r="271" spans="20:20" x14ac:dyDescent="0.25">
      <c r="T271" s="1"/>
    </row>
    <row r="272" spans="20:20" x14ac:dyDescent="0.25">
      <c r="T272" s="1"/>
    </row>
    <row r="273" spans="20:20" x14ac:dyDescent="0.25">
      <c r="T273" s="1"/>
    </row>
    <row r="274" spans="20:20" x14ac:dyDescent="0.25">
      <c r="T274" s="1"/>
    </row>
    <row r="275" spans="20:20" x14ac:dyDescent="0.25">
      <c r="T275" s="1"/>
    </row>
    <row r="276" spans="20:20" x14ac:dyDescent="0.25">
      <c r="T276" s="1"/>
    </row>
    <row r="277" spans="20:20" x14ac:dyDescent="0.25">
      <c r="T277" s="1"/>
    </row>
    <row r="278" spans="20:20" x14ac:dyDescent="0.25">
      <c r="T278" s="1"/>
    </row>
    <row r="279" spans="20:20" x14ac:dyDescent="0.25">
      <c r="T279" s="1"/>
    </row>
    <row r="280" spans="20:20" x14ac:dyDescent="0.25">
      <c r="T280" s="1"/>
    </row>
    <row r="281" spans="20:20" x14ac:dyDescent="0.25">
      <c r="T281" s="1"/>
    </row>
    <row r="282" spans="20:20" x14ac:dyDescent="0.25">
      <c r="T282" s="1"/>
    </row>
    <row r="283" spans="20:20" x14ac:dyDescent="0.25">
      <c r="T283" s="1"/>
    </row>
    <row r="284" spans="20:20" x14ac:dyDescent="0.25">
      <c r="T284" s="1"/>
    </row>
    <row r="285" spans="20:20" x14ac:dyDescent="0.25">
      <c r="T285" s="1"/>
    </row>
    <row r="286" spans="20:20" x14ac:dyDescent="0.25">
      <c r="T286" s="1"/>
    </row>
    <row r="287" spans="20:20" x14ac:dyDescent="0.25">
      <c r="T287" s="1"/>
    </row>
    <row r="288" spans="20:20" x14ac:dyDescent="0.25">
      <c r="T288" s="1"/>
    </row>
    <row r="289" spans="20:20" x14ac:dyDescent="0.25">
      <c r="T289" s="1"/>
    </row>
    <row r="290" spans="20:20" x14ac:dyDescent="0.25">
      <c r="T290" s="1"/>
    </row>
    <row r="291" spans="20:20" x14ac:dyDescent="0.25">
      <c r="T291" s="1"/>
    </row>
    <row r="292" spans="20:20" x14ac:dyDescent="0.25">
      <c r="T292" s="1"/>
    </row>
    <row r="293" spans="20:20" x14ac:dyDescent="0.25">
      <c r="T293" s="1"/>
    </row>
    <row r="294" spans="20:20" x14ac:dyDescent="0.25">
      <c r="T294" s="1"/>
    </row>
    <row r="295" spans="20:20" x14ac:dyDescent="0.25">
      <c r="T295" s="1"/>
    </row>
    <row r="296" spans="20:20" x14ac:dyDescent="0.25">
      <c r="T296" s="1"/>
    </row>
    <row r="297" spans="20:20" x14ac:dyDescent="0.25">
      <c r="T297" s="1"/>
    </row>
    <row r="298" spans="20:20" x14ac:dyDescent="0.25">
      <c r="T298" s="1"/>
    </row>
    <row r="299" spans="20:20" x14ac:dyDescent="0.25">
      <c r="T299" s="1"/>
    </row>
    <row r="300" spans="20:20" x14ac:dyDescent="0.25">
      <c r="T300" s="1"/>
    </row>
    <row r="301" spans="20:20" x14ac:dyDescent="0.25">
      <c r="T301" s="1"/>
    </row>
    <row r="302" spans="20:20" x14ac:dyDescent="0.25">
      <c r="T302" s="1"/>
    </row>
    <row r="303" spans="20:20" x14ac:dyDescent="0.25">
      <c r="T303" s="1"/>
    </row>
    <row r="304" spans="20:20" x14ac:dyDescent="0.25">
      <c r="T304" s="1"/>
    </row>
    <row r="305" spans="20:20" x14ac:dyDescent="0.25">
      <c r="T305" s="1"/>
    </row>
    <row r="306" spans="20:20" x14ac:dyDescent="0.25">
      <c r="T306" s="1"/>
    </row>
    <row r="307" spans="20:20" x14ac:dyDescent="0.25">
      <c r="T307" s="1"/>
    </row>
    <row r="308" spans="20:20" x14ac:dyDescent="0.25">
      <c r="T308" s="1"/>
    </row>
    <row r="309" spans="20:20" x14ac:dyDescent="0.25">
      <c r="T309" s="1"/>
    </row>
    <row r="310" spans="20:20" x14ac:dyDescent="0.25">
      <c r="T310" s="1"/>
    </row>
    <row r="311" spans="20:20" x14ac:dyDescent="0.25">
      <c r="T311" s="1"/>
    </row>
    <row r="312" spans="20:20" x14ac:dyDescent="0.25">
      <c r="T312" s="1"/>
    </row>
    <row r="313" spans="20:20" x14ac:dyDescent="0.25">
      <c r="T313" s="1"/>
    </row>
    <row r="314" spans="20:20" x14ac:dyDescent="0.25">
      <c r="T314" s="1"/>
    </row>
    <row r="315" spans="20:20" x14ac:dyDescent="0.25">
      <c r="T315" s="1"/>
    </row>
    <row r="316" spans="20:20" x14ac:dyDescent="0.25">
      <c r="T316" s="1"/>
    </row>
    <row r="317" spans="20:20" x14ac:dyDescent="0.25">
      <c r="T317" s="1"/>
    </row>
    <row r="318" spans="20:20" x14ac:dyDescent="0.25">
      <c r="T318" s="1"/>
    </row>
    <row r="319" spans="20:20" x14ac:dyDescent="0.25">
      <c r="T319" s="1"/>
    </row>
    <row r="320" spans="20:20" x14ac:dyDescent="0.25">
      <c r="T320" s="1"/>
    </row>
    <row r="321" spans="20:20" x14ac:dyDescent="0.25">
      <c r="T321" s="1"/>
    </row>
    <row r="322" spans="20:20" x14ac:dyDescent="0.25">
      <c r="T322" s="1"/>
    </row>
    <row r="323" spans="20:20" x14ac:dyDescent="0.25">
      <c r="T323" s="1"/>
    </row>
    <row r="324" spans="20:20" x14ac:dyDescent="0.25">
      <c r="T324" s="1"/>
    </row>
    <row r="325" spans="20:20" x14ac:dyDescent="0.25">
      <c r="T325" s="1"/>
    </row>
    <row r="326" spans="20:20" x14ac:dyDescent="0.25">
      <c r="T326" s="1"/>
    </row>
    <row r="327" spans="20:20" x14ac:dyDescent="0.25">
      <c r="T327" s="1"/>
    </row>
    <row r="328" spans="20:20" x14ac:dyDescent="0.25">
      <c r="T328" s="1"/>
    </row>
    <row r="329" spans="20:20" x14ac:dyDescent="0.25">
      <c r="T329" s="1"/>
    </row>
    <row r="330" spans="20:20" x14ac:dyDescent="0.25">
      <c r="T330" s="1"/>
    </row>
    <row r="331" spans="20:20" x14ac:dyDescent="0.25">
      <c r="T331" s="1"/>
    </row>
    <row r="332" spans="20:20" x14ac:dyDescent="0.25">
      <c r="T332" s="1"/>
    </row>
    <row r="333" spans="20:20" x14ac:dyDescent="0.25">
      <c r="T333" s="1"/>
    </row>
    <row r="334" spans="20:20" x14ac:dyDescent="0.25">
      <c r="T334" s="1"/>
    </row>
    <row r="335" spans="20:20" x14ac:dyDescent="0.25">
      <c r="T335" s="1"/>
    </row>
    <row r="336" spans="20:20" x14ac:dyDescent="0.25">
      <c r="T336" s="1"/>
    </row>
    <row r="337" spans="20:20" x14ac:dyDescent="0.25">
      <c r="T337" s="1"/>
    </row>
    <row r="338" spans="20:20" x14ac:dyDescent="0.25">
      <c r="T338" s="1"/>
    </row>
    <row r="339" spans="20:20" x14ac:dyDescent="0.25">
      <c r="T339" s="1"/>
    </row>
    <row r="340" spans="20:20" x14ac:dyDescent="0.25">
      <c r="T340" s="1"/>
    </row>
    <row r="341" spans="20:20" x14ac:dyDescent="0.25">
      <c r="T341" s="1"/>
    </row>
    <row r="342" spans="20:20" x14ac:dyDescent="0.25">
      <c r="T342" s="1"/>
    </row>
    <row r="343" spans="20:20" x14ac:dyDescent="0.25">
      <c r="T343" s="1"/>
    </row>
    <row r="344" spans="20:20" x14ac:dyDescent="0.25">
      <c r="T344" s="1"/>
    </row>
    <row r="345" spans="20:20" x14ac:dyDescent="0.25">
      <c r="T345" s="1"/>
    </row>
    <row r="346" spans="20:20" x14ac:dyDescent="0.25">
      <c r="T346" s="1"/>
    </row>
    <row r="347" spans="20:20" x14ac:dyDescent="0.25">
      <c r="T347" s="1"/>
    </row>
    <row r="348" spans="20:20" x14ac:dyDescent="0.25">
      <c r="T348" s="1"/>
    </row>
    <row r="349" spans="20:20" x14ac:dyDescent="0.25">
      <c r="T349" s="1"/>
    </row>
    <row r="350" spans="20:20" x14ac:dyDescent="0.25">
      <c r="T350" s="1"/>
    </row>
    <row r="351" spans="20:20" x14ac:dyDescent="0.25">
      <c r="T351" s="1"/>
    </row>
    <row r="352" spans="20:20" x14ac:dyDescent="0.25">
      <c r="T352" s="1"/>
    </row>
    <row r="353" spans="20:20" x14ac:dyDescent="0.25">
      <c r="T353" s="1"/>
    </row>
    <row r="354" spans="20:20" x14ac:dyDescent="0.25">
      <c r="T354" s="1"/>
    </row>
    <row r="355" spans="20:20" x14ac:dyDescent="0.25">
      <c r="T355" s="1"/>
    </row>
    <row r="356" spans="20:20" x14ac:dyDescent="0.25">
      <c r="T356" s="1"/>
    </row>
    <row r="357" spans="20:20" x14ac:dyDescent="0.25">
      <c r="T357" s="1"/>
    </row>
    <row r="358" spans="20:20" x14ac:dyDescent="0.25">
      <c r="T358" s="1"/>
    </row>
    <row r="359" spans="20:20" x14ac:dyDescent="0.25">
      <c r="T359" s="1"/>
    </row>
    <row r="360" spans="20:20" x14ac:dyDescent="0.25">
      <c r="T360" s="1"/>
    </row>
    <row r="361" spans="20:20" x14ac:dyDescent="0.25">
      <c r="T361" s="1"/>
    </row>
    <row r="362" spans="20:20" x14ac:dyDescent="0.25">
      <c r="T362" s="1"/>
    </row>
    <row r="363" spans="20:20" x14ac:dyDescent="0.25">
      <c r="T363" s="1"/>
    </row>
    <row r="364" spans="20:20" x14ac:dyDescent="0.25">
      <c r="T364" s="1"/>
    </row>
    <row r="365" spans="20:20" x14ac:dyDescent="0.25">
      <c r="T365" s="1"/>
    </row>
    <row r="366" spans="20:20" x14ac:dyDescent="0.25">
      <c r="T366" s="1"/>
    </row>
    <row r="367" spans="20:20" x14ac:dyDescent="0.25">
      <c r="T367" s="1"/>
    </row>
    <row r="368" spans="20:20" x14ac:dyDescent="0.25">
      <c r="T368" s="1"/>
    </row>
    <row r="369" spans="20:20" x14ac:dyDescent="0.25">
      <c r="T369" s="1"/>
    </row>
    <row r="370" spans="20:20" x14ac:dyDescent="0.25">
      <c r="T370" s="1"/>
    </row>
    <row r="371" spans="20:20" x14ac:dyDescent="0.25">
      <c r="T371" s="1"/>
    </row>
    <row r="372" spans="20:20" x14ac:dyDescent="0.25">
      <c r="T372" s="1"/>
    </row>
    <row r="373" spans="20:20" x14ac:dyDescent="0.25">
      <c r="T373" s="1"/>
    </row>
    <row r="374" spans="20:20" x14ac:dyDescent="0.25">
      <c r="T374" s="1"/>
    </row>
    <row r="375" spans="20:20" x14ac:dyDescent="0.25">
      <c r="T375" s="1"/>
    </row>
    <row r="376" spans="20:20" x14ac:dyDescent="0.25">
      <c r="T376" s="1"/>
    </row>
    <row r="377" spans="20:20" x14ac:dyDescent="0.25">
      <c r="T377" s="1"/>
    </row>
    <row r="378" spans="20:20" x14ac:dyDescent="0.25">
      <c r="T378" s="1"/>
    </row>
    <row r="379" spans="20:20" x14ac:dyDescent="0.25">
      <c r="T379" s="1"/>
    </row>
    <row r="380" spans="20:20" x14ac:dyDescent="0.25">
      <c r="T380" s="1"/>
    </row>
    <row r="381" spans="20:20" x14ac:dyDescent="0.25">
      <c r="T381" s="1"/>
    </row>
    <row r="382" spans="20:20" x14ac:dyDescent="0.25">
      <c r="T382" s="1"/>
    </row>
    <row r="383" spans="20:20" x14ac:dyDescent="0.25">
      <c r="T383" s="1"/>
    </row>
    <row r="384" spans="20:20" x14ac:dyDescent="0.25">
      <c r="T384" s="1"/>
    </row>
    <row r="385" spans="20:20" x14ac:dyDescent="0.25">
      <c r="T385" s="1"/>
    </row>
    <row r="386" spans="20:20" x14ac:dyDescent="0.25">
      <c r="T386" s="1"/>
    </row>
    <row r="387" spans="20:20" x14ac:dyDescent="0.25">
      <c r="T387" s="1"/>
    </row>
    <row r="388" spans="20:20" x14ac:dyDescent="0.25">
      <c r="T388" s="1"/>
    </row>
    <row r="389" spans="20:20" x14ac:dyDescent="0.25">
      <c r="T389" s="1"/>
    </row>
    <row r="390" spans="20:20" x14ac:dyDescent="0.25">
      <c r="T390" s="1"/>
    </row>
    <row r="391" spans="20:20" x14ac:dyDescent="0.25">
      <c r="T391" s="1"/>
    </row>
    <row r="392" spans="20:20" x14ac:dyDescent="0.25">
      <c r="T392" s="1"/>
    </row>
    <row r="393" spans="20:20" x14ac:dyDescent="0.25">
      <c r="T393" s="1"/>
    </row>
    <row r="394" spans="20:20" x14ac:dyDescent="0.25">
      <c r="T394" s="1"/>
    </row>
    <row r="395" spans="20:20" x14ac:dyDescent="0.25">
      <c r="T395" s="1"/>
    </row>
    <row r="396" spans="20:20" x14ac:dyDescent="0.25">
      <c r="T396" s="1"/>
    </row>
    <row r="397" spans="20:20" x14ac:dyDescent="0.25">
      <c r="T397" s="1"/>
    </row>
    <row r="398" spans="20:20" x14ac:dyDescent="0.25">
      <c r="T398" s="1"/>
    </row>
    <row r="399" spans="20:20" x14ac:dyDescent="0.25">
      <c r="T399" s="1"/>
    </row>
    <row r="400" spans="20:20" x14ac:dyDescent="0.25">
      <c r="T400" s="1"/>
    </row>
    <row r="401" spans="20:20" x14ac:dyDescent="0.25">
      <c r="T401" s="1"/>
    </row>
    <row r="402" spans="20:20" x14ac:dyDescent="0.25">
      <c r="T402" s="1"/>
    </row>
    <row r="403" spans="20:20" x14ac:dyDescent="0.25">
      <c r="T403" s="1"/>
    </row>
    <row r="404" spans="20:20" x14ac:dyDescent="0.25">
      <c r="T404" s="1"/>
    </row>
    <row r="405" spans="20:20" x14ac:dyDescent="0.25">
      <c r="T405" s="1"/>
    </row>
    <row r="406" spans="20:20" x14ac:dyDescent="0.25">
      <c r="T406" s="1"/>
    </row>
    <row r="407" spans="20:20" x14ac:dyDescent="0.25">
      <c r="T407" s="1"/>
    </row>
    <row r="408" spans="20:20" x14ac:dyDescent="0.25">
      <c r="T408" s="1"/>
    </row>
    <row r="409" spans="20:20" x14ac:dyDescent="0.25">
      <c r="T409" s="1"/>
    </row>
    <row r="410" spans="20:20" x14ac:dyDescent="0.25">
      <c r="T410" s="1"/>
    </row>
    <row r="411" spans="20:20" x14ac:dyDescent="0.25">
      <c r="T411" s="1"/>
    </row>
    <row r="412" spans="20:20" x14ac:dyDescent="0.25">
      <c r="T412" s="1"/>
    </row>
    <row r="413" spans="20:20" x14ac:dyDescent="0.25">
      <c r="T413" s="1"/>
    </row>
    <row r="414" spans="20:20" x14ac:dyDescent="0.25">
      <c r="T414" s="1"/>
    </row>
    <row r="415" spans="20:20" x14ac:dyDescent="0.25">
      <c r="T415" s="1"/>
    </row>
    <row r="416" spans="20:20" x14ac:dyDescent="0.25">
      <c r="T416" s="1"/>
    </row>
    <row r="417" spans="20:20" x14ac:dyDescent="0.25">
      <c r="T417" s="1"/>
    </row>
    <row r="418" spans="20:20" x14ac:dyDescent="0.25">
      <c r="T418" s="1"/>
    </row>
    <row r="419" spans="20:20" x14ac:dyDescent="0.25">
      <c r="T419" s="1"/>
    </row>
    <row r="420" spans="20:20" x14ac:dyDescent="0.25">
      <c r="T420" s="1"/>
    </row>
    <row r="421" spans="20:20" x14ac:dyDescent="0.25">
      <c r="T421" s="1"/>
    </row>
    <row r="422" spans="20:20" x14ac:dyDescent="0.25">
      <c r="T422" s="1"/>
    </row>
    <row r="423" spans="20:20" x14ac:dyDescent="0.25">
      <c r="T423" s="1"/>
    </row>
    <row r="424" spans="20:20" x14ac:dyDescent="0.25">
      <c r="T424" s="1"/>
    </row>
    <row r="425" spans="20:20" x14ac:dyDescent="0.25">
      <c r="T425" s="1"/>
    </row>
    <row r="426" spans="20:20" x14ac:dyDescent="0.25">
      <c r="T426" s="1"/>
    </row>
    <row r="427" spans="20:20" x14ac:dyDescent="0.25">
      <c r="T427" s="1"/>
    </row>
    <row r="428" spans="20:20" x14ac:dyDescent="0.25">
      <c r="T428" s="1"/>
    </row>
    <row r="429" spans="20:20" x14ac:dyDescent="0.25">
      <c r="T429" s="1"/>
    </row>
    <row r="430" spans="20:20" x14ac:dyDescent="0.25">
      <c r="T430" s="1"/>
    </row>
    <row r="431" spans="20:20" x14ac:dyDescent="0.25">
      <c r="T431" s="1"/>
    </row>
    <row r="432" spans="20:20" x14ac:dyDescent="0.25">
      <c r="T432" s="1"/>
    </row>
    <row r="433" spans="20:20" x14ac:dyDescent="0.25">
      <c r="T433" s="1"/>
    </row>
    <row r="434" spans="20:20" x14ac:dyDescent="0.25">
      <c r="T434" s="1"/>
    </row>
    <row r="435" spans="20:20" x14ac:dyDescent="0.25">
      <c r="T435" s="1"/>
    </row>
    <row r="436" spans="20:20" x14ac:dyDescent="0.25">
      <c r="T436" s="1"/>
    </row>
    <row r="437" spans="20:20" x14ac:dyDescent="0.25">
      <c r="T437" s="1"/>
    </row>
    <row r="438" spans="20:20" x14ac:dyDescent="0.25">
      <c r="T438" s="1"/>
    </row>
    <row r="439" spans="20:20" x14ac:dyDescent="0.25">
      <c r="T439" s="1"/>
    </row>
    <row r="440" spans="20:20" x14ac:dyDescent="0.25">
      <c r="T440" s="1"/>
    </row>
    <row r="441" spans="20:20" x14ac:dyDescent="0.25">
      <c r="T441" s="1"/>
    </row>
    <row r="442" spans="20:20" x14ac:dyDescent="0.25">
      <c r="T442" s="1"/>
    </row>
    <row r="443" spans="20:20" x14ac:dyDescent="0.25">
      <c r="T443" s="1"/>
    </row>
    <row r="444" spans="20:20" x14ac:dyDescent="0.25">
      <c r="T444" s="1"/>
    </row>
    <row r="445" spans="20:20" x14ac:dyDescent="0.25">
      <c r="T445" s="1"/>
    </row>
    <row r="446" spans="20:20" x14ac:dyDescent="0.25">
      <c r="T446" s="1"/>
    </row>
    <row r="447" spans="20:20" x14ac:dyDescent="0.25">
      <c r="T447" s="1"/>
    </row>
    <row r="448" spans="20:20" x14ac:dyDescent="0.25">
      <c r="T448" s="1"/>
    </row>
    <row r="449" spans="20:20" x14ac:dyDescent="0.25">
      <c r="T449" s="1"/>
    </row>
    <row r="450" spans="20:20" x14ac:dyDescent="0.25">
      <c r="T450" s="1"/>
    </row>
    <row r="451" spans="20:20" x14ac:dyDescent="0.25">
      <c r="T451" s="1"/>
    </row>
    <row r="452" spans="20:20" x14ac:dyDescent="0.25">
      <c r="T452" s="1"/>
    </row>
    <row r="453" spans="20:20" x14ac:dyDescent="0.25">
      <c r="T453" s="1"/>
    </row>
    <row r="454" spans="20:20" x14ac:dyDescent="0.25">
      <c r="T454" s="1"/>
    </row>
    <row r="455" spans="20:20" x14ac:dyDescent="0.25">
      <c r="T455" s="1"/>
    </row>
    <row r="456" spans="20:20" x14ac:dyDescent="0.25">
      <c r="T456" s="1"/>
    </row>
    <row r="457" spans="20:20" x14ac:dyDescent="0.25">
      <c r="T457" s="1"/>
    </row>
    <row r="458" spans="20:20" x14ac:dyDescent="0.25">
      <c r="T458" s="1"/>
    </row>
    <row r="459" spans="20:20" x14ac:dyDescent="0.25">
      <c r="T459" s="1"/>
    </row>
    <row r="460" spans="20:20" x14ac:dyDescent="0.25">
      <c r="T460" s="1"/>
    </row>
    <row r="461" spans="20:20" x14ac:dyDescent="0.25">
      <c r="T461" s="1"/>
    </row>
    <row r="462" spans="20:20" x14ac:dyDescent="0.25">
      <c r="T462" s="1"/>
    </row>
    <row r="463" spans="20:20" x14ac:dyDescent="0.25">
      <c r="T463" s="1"/>
    </row>
    <row r="464" spans="20:20" x14ac:dyDescent="0.25">
      <c r="T464" s="1"/>
    </row>
    <row r="465" spans="20:20" x14ac:dyDescent="0.25">
      <c r="T465" s="1"/>
    </row>
    <row r="466" spans="20:20" x14ac:dyDescent="0.25">
      <c r="T466" s="1"/>
    </row>
    <row r="467" spans="20:20" x14ac:dyDescent="0.25">
      <c r="T467" s="1"/>
    </row>
    <row r="468" spans="20:20" x14ac:dyDescent="0.25">
      <c r="T468" s="1"/>
    </row>
    <row r="469" spans="20:20" x14ac:dyDescent="0.25">
      <c r="T469" s="1"/>
    </row>
    <row r="470" spans="20:20" x14ac:dyDescent="0.25">
      <c r="T470" s="1"/>
    </row>
    <row r="471" spans="20:20" x14ac:dyDescent="0.25">
      <c r="T471" s="1"/>
    </row>
    <row r="472" spans="20:20" x14ac:dyDescent="0.25">
      <c r="T472" s="1"/>
    </row>
    <row r="473" spans="20:20" x14ac:dyDescent="0.25">
      <c r="T473" s="1"/>
    </row>
    <row r="474" spans="20:20" x14ac:dyDescent="0.25">
      <c r="T474" s="1"/>
    </row>
    <row r="475" spans="20:20" x14ac:dyDescent="0.25">
      <c r="T475" s="1"/>
    </row>
    <row r="476" spans="20:20" x14ac:dyDescent="0.25">
      <c r="T476" s="1"/>
    </row>
    <row r="477" spans="20:20" x14ac:dyDescent="0.25">
      <c r="T477" s="1"/>
    </row>
    <row r="478" spans="20:20" x14ac:dyDescent="0.25">
      <c r="T478" s="1"/>
    </row>
    <row r="479" spans="20:20" x14ac:dyDescent="0.25">
      <c r="T479" s="1"/>
    </row>
    <row r="480" spans="20:20" x14ac:dyDescent="0.25">
      <c r="T480" s="1"/>
    </row>
    <row r="481" spans="20:20" x14ac:dyDescent="0.25">
      <c r="T481" s="1"/>
    </row>
    <row r="482" spans="20:20" x14ac:dyDescent="0.25">
      <c r="T482" s="1"/>
    </row>
    <row r="483" spans="20:20" x14ac:dyDescent="0.25">
      <c r="T483" s="1"/>
    </row>
    <row r="484" spans="20:20" x14ac:dyDescent="0.25">
      <c r="T484" s="1"/>
    </row>
    <row r="485" spans="20:20" x14ac:dyDescent="0.25">
      <c r="T485" s="1"/>
    </row>
    <row r="486" spans="20:20" x14ac:dyDescent="0.25">
      <c r="T486" s="1"/>
    </row>
    <row r="487" spans="20:20" x14ac:dyDescent="0.25">
      <c r="T487" s="1"/>
    </row>
    <row r="488" spans="20:20" x14ac:dyDescent="0.25">
      <c r="T488" s="1"/>
    </row>
    <row r="489" spans="20:20" x14ac:dyDescent="0.25">
      <c r="T489" s="1"/>
    </row>
    <row r="490" spans="20:20" x14ac:dyDescent="0.25">
      <c r="T490" s="1"/>
    </row>
    <row r="491" spans="20:20" x14ac:dyDescent="0.25">
      <c r="T491" s="1"/>
    </row>
    <row r="492" spans="20:20" x14ac:dyDescent="0.25">
      <c r="T492" s="1"/>
    </row>
    <row r="493" spans="20:20" x14ac:dyDescent="0.25">
      <c r="T493" s="1"/>
    </row>
    <row r="494" spans="20:20" x14ac:dyDescent="0.25">
      <c r="T494" s="1"/>
    </row>
    <row r="495" spans="20:20" x14ac:dyDescent="0.25">
      <c r="T495" s="1"/>
    </row>
    <row r="496" spans="20:20" x14ac:dyDescent="0.25">
      <c r="T496" s="1"/>
    </row>
    <row r="497" spans="20:20" x14ac:dyDescent="0.25">
      <c r="T497" s="1"/>
    </row>
    <row r="498" spans="20:20" x14ac:dyDescent="0.25">
      <c r="T498" s="1"/>
    </row>
    <row r="499" spans="20:20" x14ac:dyDescent="0.25">
      <c r="T499" s="1"/>
    </row>
    <row r="500" spans="20:20" x14ac:dyDescent="0.25">
      <c r="T500" s="1"/>
    </row>
    <row r="501" spans="20:20" x14ac:dyDescent="0.25">
      <c r="T501" s="1"/>
    </row>
    <row r="502" spans="20:20" x14ac:dyDescent="0.25">
      <c r="T502" s="1"/>
    </row>
    <row r="503" spans="20:20" x14ac:dyDescent="0.25">
      <c r="T503" s="1"/>
    </row>
    <row r="504" spans="20:20" x14ac:dyDescent="0.25">
      <c r="T504" s="1"/>
    </row>
    <row r="505" spans="20:20" x14ac:dyDescent="0.25">
      <c r="T505" s="1"/>
    </row>
    <row r="506" spans="20:20" x14ac:dyDescent="0.25">
      <c r="T506" s="1"/>
    </row>
    <row r="507" spans="20:20" x14ac:dyDescent="0.25">
      <c r="T507" s="1"/>
    </row>
    <row r="508" spans="20:20" x14ac:dyDescent="0.25">
      <c r="T508" s="1"/>
    </row>
    <row r="509" spans="20:20" x14ac:dyDescent="0.25">
      <c r="T509" s="1"/>
    </row>
    <row r="510" spans="20:20" x14ac:dyDescent="0.25">
      <c r="T510" s="1"/>
    </row>
    <row r="511" spans="20:20" x14ac:dyDescent="0.25">
      <c r="T511" s="1"/>
    </row>
    <row r="512" spans="20:20" x14ac:dyDescent="0.25">
      <c r="T512" s="1"/>
    </row>
    <row r="513" spans="20:20" x14ac:dyDescent="0.25">
      <c r="T513" s="1"/>
    </row>
    <row r="514" spans="20:20" x14ac:dyDescent="0.25">
      <c r="T514" s="1"/>
    </row>
    <row r="515" spans="20:20" x14ac:dyDescent="0.25">
      <c r="T515" s="1"/>
    </row>
    <row r="516" spans="20:20" x14ac:dyDescent="0.25">
      <c r="T516" s="1"/>
    </row>
    <row r="517" spans="20:20" x14ac:dyDescent="0.25">
      <c r="T517" s="1"/>
    </row>
    <row r="518" spans="20:20" x14ac:dyDescent="0.25">
      <c r="T518" s="1"/>
    </row>
    <row r="519" spans="20:20" x14ac:dyDescent="0.25">
      <c r="T519" s="1"/>
    </row>
    <row r="520" spans="20:20" x14ac:dyDescent="0.25">
      <c r="T520" s="1"/>
    </row>
    <row r="521" spans="20:20" x14ac:dyDescent="0.25">
      <c r="T521" s="1"/>
    </row>
    <row r="522" spans="20:20" x14ac:dyDescent="0.25">
      <c r="T522" s="1"/>
    </row>
    <row r="523" spans="20:20" x14ac:dyDescent="0.25">
      <c r="T523" s="1"/>
    </row>
    <row r="524" spans="20:20" x14ac:dyDescent="0.25">
      <c r="T524" s="1"/>
    </row>
    <row r="525" spans="20:20" x14ac:dyDescent="0.25">
      <c r="T525" s="1"/>
    </row>
    <row r="526" spans="20:20" x14ac:dyDescent="0.25">
      <c r="T526" s="1"/>
    </row>
    <row r="527" spans="20:20" x14ac:dyDescent="0.25">
      <c r="T527" s="1"/>
    </row>
    <row r="528" spans="20:20" x14ac:dyDescent="0.25">
      <c r="T528" s="1"/>
    </row>
    <row r="529" spans="20:20" x14ac:dyDescent="0.25">
      <c r="T529" s="1"/>
    </row>
    <row r="530" spans="20:20" x14ac:dyDescent="0.25">
      <c r="T530" s="1"/>
    </row>
    <row r="531" spans="20:20" x14ac:dyDescent="0.25">
      <c r="T531" s="1"/>
    </row>
    <row r="532" spans="20:20" x14ac:dyDescent="0.25">
      <c r="T532" s="1"/>
    </row>
    <row r="533" spans="20:20" x14ac:dyDescent="0.25">
      <c r="T533" s="1"/>
    </row>
    <row r="534" spans="20:20" x14ac:dyDescent="0.25">
      <c r="T534" s="1"/>
    </row>
    <row r="535" spans="20:20" x14ac:dyDescent="0.25">
      <c r="T535" s="1"/>
    </row>
    <row r="536" spans="20:20" x14ac:dyDescent="0.25">
      <c r="T536" s="1"/>
    </row>
    <row r="537" spans="20:20" x14ac:dyDescent="0.25">
      <c r="T537" s="1"/>
    </row>
    <row r="538" spans="20:20" x14ac:dyDescent="0.25">
      <c r="T538" s="1"/>
    </row>
    <row r="539" spans="20:20" x14ac:dyDescent="0.25">
      <c r="T539" s="1"/>
    </row>
    <row r="540" spans="20:20" x14ac:dyDescent="0.25">
      <c r="T540" s="1"/>
    </row>
    <row r="541" spans="20:20" x14ac:dyDescent="0.25">
      <c r="T541" s="1"/>
    </row>
    <row r="542" spans="20:20" x14ac:dyDescent="0.25">
      <c r="T542" s="1"/>
    </row>
    <row r="543" spans="20:20" x14ac:dyDescent="0.25">
      <c r="T543" s="1"/>
    </row>
    <row r="544" spans="20:20" x14ac:dyDescent="0.25">
      <c r="T544" s="1"/>
    </row>
    <row r="545" spans="20:20" x14ac:dyDescent="0.25">
      <c r="T545" s="1"/>
    </row>
    <row r="546" spans="20:20" x14ac:dyDescent="0.25">
      <c r="T546" s="1"/>
    </row>
    <row r="547" spans="20:20" x14ac:dyDescent="0.25">
      <c r="T547" s="1"/>
    </row>
    <row r="548" spans="20:20" x14ac:dyDescent="0.25">
      <c r="T548" s="1"/>
    </row>
    <row r="549" spans="20:20" x14ac:dyDescent="0.25">
      <c r="T549" s="1"/>
    </row>
    <row r="550" spans="20:20" x14ac:dyDescent="0.25">
      <c r="T550" s="1"/>
    </row>
    <row r="551" spans="20:20" x14ac:dyDescent="0.25">
      <c r="T551" s="1"/>
    </row>
    <row r="552" spans="20:20" x14ac:dyDescent="0.25">
      <c r="T552" s="1"/>
    </row>
    <row r="553" spans="20:20" x14ac:dyDescent="0.25">
      <c r="T553" s="1"/>
    </row>
    <row r="554" spans="20:20" x14ac:dyDescent="0.25">
      <c r="T554" s="1"/>
    </row>
    <row r="555" spans="20:20" x14ac:dyDescent="0.25">
      <c r="T555" s="1"/>
    </row>
    <row r="556" spans="20:20" x14ac:dyDescent="0.25">
      <c r="T556" s="1"/>
    </row>
    <row r="557" spans="20:20" x14ac:dyDescent="0.25">
      <c r="T557" s="1"/>
    </row>
    <row r="558" spans="20:20" x14ac:dyDescent="0.25">
      <c r="T558" s="1"/>
    </row>
    <row r="559" spans="20:20" x14ac:dyDescent="0.25">
      <c r="T559" s="1"/>
    </row>
    <row r="560" spans="20:20" x14ac:dyDescent="0.25">
      <c r="T560" s="1"/>
    </row>
    <row r="561" spans="20:20" x14ac:dyDescent="0.25">
      <c r="T561" s="1"/>
    </row>
    <row r="562" spans="20:20" x14ac:dyDescent="0.25">
      <c r="T562" s="1"/>
    </row>
    <row r="563" spans="20:20" x14ac:dyDescent="0.25">
      <c r="T563" s="1"/>
    </row>
    <row r="564" spans="20:20" x14ac:dyDescent="0.25">
      <c r="T564" s="1"/>
    </row>
    <row r="565" spans="20:20" x14ac:dyDescent="0.25">
      <c r="T565" s="1"/>
    </row>
    <row r="566" spans="20:20" x14ac:dyDescent="0.25">
      <c r="T566" s="1"/>
    </row>
    <row r="567" spans="20:20" x14ac:dyDescent="0.25">
      <c r="T567" s="1"/>
    </row>
    <row r="568" spans="20:20" x14ac:dyDescent="0.25">
      <c r="T568" s="1"/>
    </row>
    <row r="569" spans="20:20" x14ac:dyDescent="0.25">
      <c r="T569" s="1"/>
    </row>
    <row r="570" spans="20:20" x14ac:dyDescent="0.25">
      <c r="T570" s="1"/>
    </row>
    <row r="571" spans="20:20" x14ac:dyDescent="0.25">
      <c r="T571" s="1"/>
    </row>
    <row r="572" spans="20:20" x14ac:dyDescent="0.25">
      <c r="T572" s="1"/>
    </row>
    <row r="573" spans="20:20" x14ac:dyDescent="0.25">
      <c r="T573" s="1"/>
    </row>
    <row r="574" spans="20:20" x14ac:dyDescent="0.25">
      <c r="T574" s="1"/>
    </row>
    <row r="575" spans="20:20" x14ac:dyDescent="0.25">
      <c r="T575" s="1"/>
    </row>
    <row r="576" spans="20:20" x14ac:dyDescent="0.25">
      <c r="T576" s="1"/>
    </row>
    <row r="577" spans="20:20" x14ac:dyDescent="0.25">
      <c r="T577" s="1"/>
    </row>
    <row r="578" spans="20:20" x14ac:dyDescent="0.25">
      <c r="T578" s="1"/>
    </row>
    <row r="579" spans="20:20" x14ac:dyDescent="0.25">
      <c r="T579" s="1"/>
    </row>
    <row r="580" spans="20:20" x14ac:dyDescent="0.25">
      <c r="T580" s="1"/>
    </row>
    <row r="581" spans="20:20" x14ac:dyDescent="0.25">
      <c r="T581" s="1"/>
    </row>
    <row r="582" spans="20:20" x14ac:dyDescent="0.25">
      <c r="T582" s="1"/>
    </row>
    <row r="583" spans="20:20" x14ac:dyDescent="0.25">
      <c r="T583" s="1"/>
    </row>
    <row r="584" spans="20:20" x14ac:dyDescent="0.25">
      <c r="T584" s="1"/>
    </row>
    <row r="585" spans="20:20" x14ac:dyDescent="0.25">
      <c r="T585" s="1"/>
    </row>
    <row r="586" spans="20:20" x14ac:dyDescent="0.25">
      <c r="T586" s="1"/>
    </row>
    <row r="587" spans="20:20" x14ac:dyDescent="0.25">
      <c r="T587" s="1"/>
    </row>
    <row r="588" spans="20:20" x14ac:dyDescent="0.25">
      <c r="T588" s="1"/>
    </row>
    <row r="589" spans="20:20" x14ac:dyDescent="0.25">
      <c r="T589" s="1"/>
    </row>
    <row r="590" spans="20:20" x14ac:dyDescent="0.25">
      <c r="T590" s="1"/>
    </row>
    <row r="591" spans="20:20" x14ac:dyDescent="0.25">
      <c r="T591" s="1"/>
    </row>
    <row r="592" spans="20:20" x14ac:dyDescent="0.25">
      <c r="T592" s="1"/>
    </row>
    <row r="593" spans="20:20" x14ac:dyDescent="0.25">
      <c r="T593" s="1"/>
    </row>
    <row r="594" spans="20:20" x14ac:dyDescent="0.25">
      <c r="T594" s="1"/>
    </row>
    <row r="595" spans="20:20" x14ac:dyDescent="0.25">
      <c r="T595" s="1"/>
    </row>
    <row r="596" spans="20:20" x14ac:dyDescent="0.25">
      <c r="T596" s="1"/>
    </row>
    <row r="597" spans="20:20" x14ac:dyDescent="0.25">
      <c r="T597" s="1"/>
    </row>
    <row r="598" spans="20:20" x14ac:dyDescent="0.25">
      <c r="T598" s="1"/>
    </row>
    <row r="599" spans="20:20" x14ac:dyDescent="0.25">
      <c r="T599" s="1"/>
    </row>
    <row r="600" spans="20:20" x14ac:dyDescent="0.25">
      <c r="T600" s="1"/>
    </row>
    <row r="601" spans="20:20" x14ac:dyDescent="0.25">
      <c r="T601" s="1"/>
    </row>
    <row r="602" spans="20:20" x14ac:dyDescent="0.25">
      <c r="T602" s="1"/>
    </row>
    <row r="603" spans="20:20" x14ac:dyDescent="0.25">
      <c r="T603" s="1"/>
    </row>
    <row r="604" spans="20:20" x14ac:dyDescent="0.25">
      <c r="T604" s="1"/>
    </row>
    <row r="605" spans="20:20" x14ac:dyDescent="0.25">
      <c r="T605" s="1"/>
    </row>
    <row r="606" spans="20:20" x14ac:dyDescent="0.25">
      <c r="T606" s="1"/>
    </row>
    <row r="607" spans="20:20" x14ac:dyDescent="0.25">
      <c r="T607" s="1"/>
    </row>
    <row r="608" spans="20:20" x14ac:dyDescent="0.25">
      <c r="T608" s="1"/>
    </row>
    <row r="609" spans="20:20" x14ac:dyDescent="0.25">
      <c r="T609" s="1"/>
    </row>
    <row r="610" spans="20:20" x14ac:dyDescent="0.25">
      <c r="T610" s="1"/>
    </row>
    <row r="611" spans="20:20" x14ac:dyDescent="0.25">
      <c r="T611" s="1"/>
    </row>
    <row r="612" spans="20:20" x14ac:dyDescent="0.25">
      <c r="T612" s="1"/>
    </row>
    <row r="613" spans="20:20" x14ac:dyDescent="0.25">
      <c r="T613" s="1"/>
    </row>
    <row r="614" spans="20:20" x14ac:dyDescent="0.25">
      <c r="T614" s="1"/>
    </row>
    <row r="615" spans="20:20" x14ac:dyDescent="0.25">
      <c r="T615" s="1"/>
    </row>
    <row r="616" spans="20:20" x14ac:dyDescent="0.25">
      <c r="T616" s="1"/>
    </row>
    <row r="617" spans="20:20" x14ac:dyDescent="0.25">
      <c r="T617" s="1"/>
    </row>
    <row r="618" spans="20:20" x14ac:dyDescent="0.25">
      <c r="T618" s="1"/>
    </row>
    <row r="619" spans="20:20" x14ac:dyDescent="0.25">
      <c r="T619" s="1"/>
    </row>
    <row r="620" spans="20:20" x14ac:dyDescent="0.25">
      <c r="T620" s="1"/>
    </row>
    <row r="621" spans="20:20" x14ac:dyDescent="0.25">
      <c r="T621" s="1"/>
    </row>
    <row r="622" spans="20:20" x14ac:dyDescent="0.25">
      <c r="T622" s="1"/>
    </row>
    <row r="623" spans="20:20" x14ac:dyDescent="0.25">
      <c r="T623" s="1"/>
    </row>
    <row r="624" spans="20:20" x14ac:dyDescent="0.25">
      <c r="T624" s="1"/>
    </row>
    <row r="625" spans="20:20" x14ac:dyDescent="0.25">
      <c r="T625" s="1"/>
    </row>
    <row r="626" spans="20:20" x14ac:dyDescent="0.25">
      <c r="T626" s="1"/>
    </row>
    <row r="627" spans="20:20" x14ac:dyDescent="0.25">
      <c r="T627" s="1"/>
    </row>
    <row r="628" spans="20:20" x14ac:dyDescent="0.25">
      <c r="T628" s="1"/>
    </row>
    <row r="629" spans="20:20" x14ac:dyDescent="0.25">
      <c r="T629" s="1"/>
    </row>
    <row r="630" spans="20:20" x14ac:dyDescent="0.25">
      <c r="T630" s="1"/>
    </row>
    <row r="631" spans="20:20" x14ac:dyDescent="0.25">
      <c r="T631" s="1"/>
    </row>
    <row r="632" spans="20:20" x14ac:dyDescent="0.25">
      <c r="T632" s="1"/>
    </row>
    <row r="633" spans="20:20" x14ac:dyDescent="0.25">
      <c r="T633" s="1"/>
    </row>
    <row r="634" spans="20:20" x14ac:dyDescent="0.25">
      <c r="T634" s="1"/>
    </row>
    <row r="635" spans="20:20" x14ac:dyDescent="0.25">
      <c r="T635" s="1"/>
    </row>
    <row r="636" spans="20:20" x14ac:dyDescent="0.25">
      <c r="T636" s="1"/>
    </row>
    <row r="637" spans="20:20" x14ac:dyDescent="0.25">
      <c r="T637" s="1"/>
    </row>
    <row r="638" spans="20:20" x14ac:dyDescent="0.25">
      <c r="T638" s="1"/>
    </row>
    <row r="639" spans="20:20" x14ac:dyDescent="0.25">
      <c r="T639" s="1"/>
    </row>
    <row r="640" spans="20:20" x14ac:dyDescent="0.25">
      <c r="T640" s="1"/>
    </row>
    <row r="641" spans="20:20" x14ac:dyDescent="0.25">
      <c r="T641" s="1"/>
    </row>
    <row r="642" spans="20:20" x14ac:dyDescent="0.25">
      <c r="T642" s="1"/>
    </row>
    <row r="643" spans="20:20" x14ac:dyDescent="0.25">
      <c r="T643" s="1"/>
    </row>
    <row r="644" spans="20:20" x14ac:dyDescent="0.25">
      <c r="T644" s="1"/>
    </row>
    <row r="645" spans="20:20" x14ac:dyDescent="0.25">
      <c r="T645" s="1"/>
    </row>
    <row r="646" spans="20:20" x14ac:dyDescent="0.25">
      <c r="T646" s="1"/>
    </row>
    <row r="647" spans="20:20" x14ac:dyDescent="0.25">
      <c r="T647" s="1"/>
    </row>
    <row r="648" spans="20:20" x14ac:dyDescent="0.25">
      <c r="T648" s="1"/>
    </row>
    <row r="649" spans="20:20" x14ac:dyDescent="0.25">
      <c r="T649" s="1"/>
    </row>
    <row r="650" spans="20:20" x14ac:dyDescent="0.25">
      <c r="T650" s="1"/>
    </row>
    <row r="651" spans="20:20" x14ac:dyDescent="0.25">
      <c r="T651" s="1"/>
    </row>
    <row r="652" spans="20:20" x14ac:dyDescent="0.25">
      <c r="T652" s="1"/>
    </row>
    <row r="653" spans="20:20" x14ac:dyDescent="0.25">
      <c r="T653" s="1"/>
    </row>
    <row r="654" spans="20:20" x14ac:dyDescent="0.25">
      <c r="T654" s="1"/>
    </row>
    <row r="655" spans="20:20" x14ac:dyDescent="0.25">
      <c r="T655" s="1"/>
    </row>
    <row r="656" spans="20:20" x14ac:dyDescent="0.25">
      <c r="T656" s="1"/>
    </row>
    <row r="657" spans="20:20" x14ac:dyDescent="0.25">
      <c r="T657" s="1"/>
    </row>
    <row r="658" spans="20:20" x14ac:dyDescent="0.25">
      <c r="T658" s="1"/>
    </row>
    <row r="659" spans="20:20" x14ac:dyDescent="0.25">
      <c r="T659" s="1"/>
    </row>
    <row r="660" spans="20:20" x14ac:dyDescent="0.25">
      <c r="T660" s="1"/>
    </row>
    <row r="661" spans="20:20" x14ac:dyDescent="0.25">
      <c r="T661" s="1"/>
    </row>
    <row r="662" spans="20:20" x14ac:dyDescent="0.25">
      <c r="T662" s="1"/>
    </row>
    <row r="663" spans="20:20" x14ac:dyDescent="0.25">
      <c r="T663" s="1"/>
    </row>
    <row r="664" spans="20:20" x14ac:dyDescent="0.25">
      <c r="T664" s="1"/>
    </row>
    <row r="665" spans="20:20" x14ac:dyDescent="0.25">
      <c r="T665" s="1"/>
    </row>
    <row r="666" spans="20:20" x14ac:dyDescent="0.25">
      <c r="T666" s="1"/>
    </row>
    <row r="667" spans="20:20" x14ac:dyDescent="0.25">
      <c r="T667" s="1"/>
    </row>
    <row r="668" spans="20:20" x14ac:dyDescent="0.25">
      <c r="T668" s="1"/>
    </row>
    <row r="669" spans="20:20" x14ac:dyDescent="0.25">
      <c r="T669" s="1"/>
    </row>
    <row r="670" spans="20:20" x14ac:dyDescent="0.25">
      <c r="T670" s="1"/>
    </row>
    <row r="671" spans="20:20" x14ac:dyDescent="0.25">
      <c r="T671" s="1"/>
    </row>
    <row r="672" spans="20:20" x14ac:dyDescent="0.25">
      <c r="T672" s="1"/>
    </row>
    <row r="673" spans="20:20" x14ac:dyDescent="0.25">
      <c r="T673" s="1"/>
    </row>
    <row r="674" spans="20:20" x14ac:dyDescent="0.25">
      <c r="T674" s="1"/>
    </row>
    <row r="675" spans="20:20" x14ac:dyDescent="0.25">
      <c r="T675" s="1"/>
    </row>
    <row r="676" spans="20:20" x14ac:dyDescent="0.25">
      <c r="T676" s="1"/>
    </row>
    <row r="677" spans="20:20" x14ac:dyDescent="0.25">
      <c r="T677" s="1"/>
    </row>
    <row r="678" spans="20:20" x14ac:dyDescent="0.25">
      <c r="T678" s="1"/>
    </row>
    <row r="679" spans="20:20" x14ac:dyDescent="0.25">
      <c r="T679" s="1"/>
    </row>
    <row r="680" spans="20:20" x14ac:dyDescent="0.25">
      <c r="T680" s="1"/>
    </row>
    <row r="681" spans="20:20" x14ac:dyDescent="0.25">
      <c r="T681" s="1"/>
    </row>
    <row r="682" spans="20:20" x14ac:dyDescent="0.25">
      <c r="T682" s="1"/>
    </row>
    <row r="683" spans="20:20" x14ac:dyDescent="0.25">
      <c r="T683" s="1"/>
    </row>
    <row r="684" spans="20:20" x14ac:dyDescent="0.25">
      <c r="T684" s="1"/>
    </row>
    <row r="685" spans="20:20" x14ac:dyDescent="0.25">
      <c r="T685" s="1"/>
    </row>
    <row r="686" spans="20:20" x14ac:dyDescent="0.25">
      <c r="T686" s="1"/>
    </row>
    <row r="687" spans="20:20" x14ac:dyDescent="0.25">
      <c r="T687" s="1"/>
    </row>
    <row r="688" spans="20:20" x14ac:dyDescent="0.25">
      <c r="T688" s="1"/>
    </row>
    <row r="689" spans="20:20" x14ac:dyDescent="0.25">
      <c r="T689" s="1"/>
    </row>
    <row r="690" spans="20:20" x14ac:dyDescent="0.25">
      <c r="T690" s="1"/>
    </row>
    <row r="691" spans="20:20" x14ac:dyDescent="0.25">
      <c r="T691" s="1"/>
    </row>
    <row r="692" spans="20:20" x14ac:dyDescent="0.25">
      <c r="T692" s="1"/>
    </row>
    <row r="693" spans="20:20" x14ac:dyDescent="0.25">
      <c r="T693" s="1"/>
    </row>
    <row r="694" spans="20:20" x14ac:dyDescent="0.25">
      <c r="T694" s="1"/>
    </row>
    <row r="695" spans="20:20" x14ac:dyDescent="0.25">
      <c r="T695" s="1"/>
    </row>
    <row r="696" spans="20:20" x14ac:dyDescent="0.25">
      <c r="T696" s="1"/>
    </row>
    <row r="697" spans="20:20" x14ac:dyDescent="0.25">
      <c r="T697" s="1"/>
    </row>
    <row r="698" spans="20:20" x14ac:dyDescent="0.25">
      <c r="T698" s="1"/>
    </row>
    <row r="699" spans="20:20" x14ac:dyDescent="0.25">
      <c r="T699" s="1"/>
    </row>
    <row r="700" spans="20:20" x14ac:dyDescent="0.25">
      <c r="T700" s="1"/>
    </row>
    <row r="701" spans="20:20" x14ac:dyDescent="0.25">
      <c r="T701" s="1"/>
    </row>
    <row r="702" spans="20:20" x14ac:dyDescent="0.25">
      <c r="T702" s="1"/>
    </row>
    <row r="703" spans="20:20" x14ac:dyDescent="0.25">
      <c r="T703" s="1"/>
    </row>
    <row r="704" spans="20:20" x14ac:dyDescent="0.25">
      <c r="T704" s="1"/>
    </row>
    <row r="705" spans="20:20" x14ac:dyDescent="0.25">
      <c r="T705" s="1"/>
    </row>
    <row r="706" spans="20:20" x14ac:dyDescent="0.25">
      <c r="T706" s="1"/>
    </row>
    <row r="707" spans="20:20" x14ac:dyDescent="0.25">
      <c r="T707" s="1"/>
    </row>
    <row r="708" spans="20:20" x14ac:dyDescent="0.25">
      <c r="T708" s="1"/>
    </row>
    <row r="709" spans="20:20" x14ac:dyDescent="0.25">
      <c r="T709" s="1"/>
    </row>
    <row r="710" spans="20:20" x14ac:dyDescent="0.25">
      <c r="T710" s="1"/>
    </row>
    <row r="711" spans="20:20" x14ac:dyDescent="0.25">
      <c r="T711" s="1"/>
    </row>
    <row r="712" spans="20:20" x14ac:dyDescent="0.25">
      <c r="T712" s="1"/>
    </row>
    <row r="713" spans="20:20" x14ac:dyDescent="0.25">
      <c r="T713" s="1"/>
    </row>
    <row r="714" spans="20:20" x14ac:dyDescent="0.25">
      <c r="T714" s="1"/>
    </row>
    <row r="715" spans="20:20" x14ac:dyDescent="0.25">
      <c r="T715" s="1"/>
    </row>
    <row r="716" spans="20:20" x14ac:dyDescent="0.25">
      <c r="T716" s="1"/>
    </row>
    <row r="717" spans="20:20" x14ac:dyDescent="0.25">
      <c r="T717" s="1"/>
    </row>
    <row r="718" spans="20:20" x14ac:dyDescent="0.25">
      <c r="T718" s="1"/>
    </row>
    <row r="719" spans="20:20" x14ac:dyDescent="0.25">
      <c r="T719" s="1"/>
    </row>
    <row r="720" spans="20:20" x14ac:dyDescent="0.25">
      <c r="T720" s="1"/>
    </row>
    <row r="721" spans="20:20" x14ac:dyDescent="0.25">
      <c r="T721" s="1"/>
    </row>
    <row r="722" spans="20:20" x14ac:dyDescent="0.25">
      <c r="T722" s="1"/>
    </row>
    <row r="723" spans="20:20" x14ac:dyDescent="0.25">
      <c r="T723" s="1"/>
    </row>
    <row r="724" spans="20:20" x14ac:dyDescent="0.25">
      <c r="T724" s="1"/>
    </row>
    <row r="725" spans="20:20" x14ac:dyDescent="0.25">
      <c r="T725" s="1"/>
    </row>
    <row r="726" spans="20:20" x14ac:dyDescent="0.25">
      <c r="T726" s="1"/>
    </row>
    <row r="727" spans="20:20" x14ac:dyDescent="0.25">
      <c r="T727" s="1"/>
    </row>
    <row r="728" spans="20:20" x14ac:dyDescent="0.25">
      <c r="T728" s="1"/>
    </row>
    <row r="729" spans="20:20" x14ac:dyDescent="0.25">
      <c r="T729" s="1"/>
    </row>
    <row r="730" spans="20:20" x14ac:dyDescent="0.25">
      <c r="T730" s="1"/>
    </row>
    <row r="731" spans="20:20" x14ac:dyDescent="0.25">
      <c r="T731" s="1"/>
    </row>
    <row r="732" spans="20:20" x14ac:dyDescent="0.25">
      <c r="T732" s="1"/>
    </row>
    <row r="733" spans="20:20" x14ac:dyDescent="0.25">
      <c r="T733" s="1"/>
    </row>
    <row r="734" spans="20:20" x14ac:dyDescent="0.25">
      <c r="T734" s="1"/>
    </row>
    <row r="735" spans="20:20" x14ac:dyDescent="0.25">
      <c r="T735" s="1"/>
    </row>
    <row r="736" spans="20:20" x14ac:dyDescent="0.25">
      <c r="T736" s="1"/>
    </row>
    <row r="737" spans="20:20" x14ac:dyDescent="0.25">
      <c r="T737" s="1"/>
    </row>
    <row r="738" spans="20:20" x14ac:dyDescent="0.25">
      <c r="T738" s="1"/>
    </row>
    <row r="739" spans="20:20" x14ac:dyDescent="0.25">
      <c r="T739" s="1"/>
    </row>
    <row r="740" spans="20:20" x14ac:dyDescent="0.25">
      <c r="T740" s="1"/>
    </row>
    <row r="741" spans="20:20" x14ac:dyDescent="0.25">
      <c r="T741" s="1"/>
    </row>
    <row r="742" spans="20:20" x14ac:dyDescent="0.25">
      <c r="T742" s="1"/>
    </row>
    <row r="743" spans="20:20" x14ac:dyDescent="0.25">
      <c r="T743" s="1"/>
    </row>
    <row r="744" spans="20:20" x14ac:dyDescent="0.25">
      <c r="T744" s="1"/>
    </row>
    <row r="745" spans="20:20" x14ac:dyDescent="0.25">
      <c r="T745" s="1"/>
    </row>
    <row r="746" spans="20:20" x14ac:dyDescent="0.25">
      <c r="T746" s="1"/>
    </row>
    <row r="747" spans="20:20" x14ac:dyDescent="0.25">
      <c r="T747" s="1"/>
    </row>
    <row r="748" spans="20:20" x14ac:dyDescent="0.25">
      <c r="T748" s="1"/>
    </row>
    <row r="749" spans="20:20" x14ac:dyDescent="0.25">
      <c r="T749" s="1"/>
    </row>
    <row r="750" spans="20:20" x14ac:dyDescent="0.25">
      <c r="T750" s="1"/>
    </row>
    <row r="751" spans="20:20" x14ac:dyDescent="0.25">
      <c r="T751" s="1"/>
    </row>
    <row r="752" spans="20:20" x14ac:dyDescent="0.25">
      <c r="T752" s="1"/>
    </row>
    <row r="753" spans="20:20" x14ac:dyDescent="0.25">
      <c r="T753" s="1"/>
    </row>
    <row r="754" spans="20:20" x14ac:dyDescent="0.25">
      <c r="T754" s="1"/>
    </row>
    <row r="755" spans="20:20" x14ac:dyDescent="0.25">
      <c r="T755" s="1"/>
    </row>
    <row r="756" spans="20:20" x14ac:dyDescent="0.25">
      <c r="T756" s="1"/>
    </row>
    <row r="757" spans="20:20" x14ac:dyDescent="0.25">
      <c r="T757" s="1"/>
    </row>
    <row r="758" spans="20:20" x14ac:dyDescent="0.25">
      <c r="T758" s="1"/>
    </row>
    <row r="759" spans="20:20" x14ac:dyDescent="0.25">
      <c r="T759" s="1"/>
    </row>
    <row r="760" spans="20:20" x14ac:dyDescent="0.25">
      <c r="T760" s="1"/>
    </row>
    <row r="761" spans="20:20" x14ac:dyDescent="0.25">
      <c r="T761" s="1"/>
    </row>
    <row r="762" spans="20:20" x14ac:dyDescent="0.25">
      <c r="T762" s="1"/>
    </row>
    <row r="763" spans="20:20" x14ac:dyDescent="0.25">
      <c r="T763" s="1"/>
    </row>
    <row r="764" spans="20:20" x14ac:dyDescent="0.25">
      <c r="T764" s="1"/>
    </row>
    <row r="765" spans="20:20" x14ac:dyDescent="0.25">
      <c r="T765" s="1"/>
    </row>
    <row r="766" spans="20:20" x14ac:dyDescent="0.25">
      <c r="T766" s="1"/>
    </row>
    <row r="767" spans="20:20" x14ac:dyDescent="0.25">
      <c r="T767" s="1"/>
    </row>
    <row r="768" spans="20:20" x14ac:dyDescent="0.25">
      <c r="T768" s="1"/>
    </row>
    <row r="769" spans="20:20" x14ac:dyDescent="0.25">
      <c r="T769" s="1"/>
    </row>
    <row r="770" spans="20:20" x14ac:dyDescent="0.25">
      <c r="T770" s="1"/>
    </row>
    <row r="771" spans="20:20" x14ac:dyDescent="0.25">
      <c r="T771" s="1"/>
    </row>
    <row r="772" spans="20:20" x14ac:dyDescent="0.25">
      <c r="T772" s="1"/>
    </row>
    <row r="773" spans="20:20" x14ac:dyDescent="0.25">
      <c r="T773" s="1"/>
    </row>
    <row r="774" spans="20:20" x14ac:dyDescent="0.25">
      <c r="T774" s="1"/>
    </row>
    <row r="775" spans="20:20" x14ac:dyDescent="0.25">
      <c r="T775" s="1"/>
    </row>
    <row r="776" spans="20:20" x14ac:dyDescent="0.25">
      <c r="T776" s="1"/>
    </row>
    <row r="777" spans="20:20" x14ac:dyDescent="0.25">
      <c r="T777" s="1"/>
    </row>
    <row r="778" spans="20:20" x14ac:dyDescent="0.25">
      <c r="T778" s="1"/>
    </row>
    <row r="779" spans="20:20" x14ac:dyDescent="0.25">
      <c r="T779" s="1"/>
    </row>
    <row r="780" spans="20:20" x14ac:dyDescent="0.25">
      <c r="T780" s="1"/>
    </row>
    <row r="781" spans="20:20" x14ac:dyDescent="0.25">
      <c r="T781" s="1"/>
    </row>
    <row r="782" spans="20:20" x14ac:dyDescent="0.25">
      <c r="T782" s="1"/>
    </row>
    <row r="783" spans="20:20" x14ac:dyDescent="0.25">
      <c r="T783" s="1"/>
    </row>
    <row r="784" spans="20:20" x14ac:dyDescent="0.25">
      <c r="T784" s="1"/>
    </row>
    <row r="785" spans="20:20" x14ac:dyDescent="0.25">
      <c r="T785" s="1"/>
    </row>
    <row r="786" spans="20:20" x14ac:dyDescent="0.25">
      <c r="T786" s="1"/>
    </row>
    <row r="787" spans="20:20" x14ac:dyDescent="0.25">
      <c r="T787" s="1"/>
    </row>
    <row r="788" spans="20:20" x14ac:dyDescent="0.25">
      <c r="T788" s="1"/>
    </row>
    <row r="789" spans="20:20" x14ac:dyDescent="0.25">
      <c r="T789" s="1"/>
    </row>
    <row r="790" spans="20:20" x14ac:dyDescent="0.25">
      <c r="T790" s="1"/>
    </row>
    <row r="791" spans="20:20" x14ac:dyDescent="0.25">
      <c r="T791" s="1"/>
    </row>
    <row r="792" spans="20:20" x14ac:dyDescent="0.25">
      <c r="T792" s="1"/>
    </row>
    <row r="793" spans="20:20" x14ac:dyDescent="0.25">
      <c r="T793" s="1"/>
    </row>
    <row r="794" spans="20:20" x14ac:dyDescent="0.25">
      <c r="T794" s="1"/>
    </row>
    <row r="795" spans="20:20" x14ac:dyDescent="0.25">
      <c r="T795" s="1"/>
    </row>
    <row r="796" spans="20:20" x14ac:dyDescent="0.25">
      <c r="T796" s="1"/>
    </row>
    <row r="797" spans="20:20" x14ac:dyDescent="0.25">
      <c r="T797" s="1"/>
    </row>
    <row r="798" spans="20:20" x14ac:dyDescent="0.25">
      <c r="T798" s="1"/>
    </row>
    <row r="799" spans="20:20" x14ac:dyDescent="0.25">
      <c r="T799" s="1"/>
    </row>
    <row r="800" spans="20:20" x14ac:dyDescent="0.25">
      <c r="T800" s="1"/>
    </row>
    <row r="801" spans="20:20" x14ac:dyDescent="0.25">
      <c r="T801" s="1"/>
    </row>
    <row r="802" spans="20:20" x14ac:dyDescent="0.25">
      <c r="T802" s="1"/>
    </row>
    <row r="803" spans="20:20" x14ac:dyDescent="0.25">
      <c r="T803" s="1"/>
    </row>
    <row r="804" spans="20:20" x14ac:dyDescent="0.25">
      <c r="T804" s="1"/>
    </row>
    <row r="805" spans="20:20" x14ac:dyDescent="0.25">
      <c r="T805" s="1"/>
    </row>
    <row r="806" spans="20:20" x14ac:dyDescent="0.25">
      <c r="T806" s="1"/>
    </row>
    <row r="807" spans="20:20" x14ac:dyDescent="0.25">
      <c r="T807" s="1"/>
    </row>
    <row r="808" spans="20:20" x14ac:dyDescent="0.25">
      <c r="T808" s="1"/>
    </row>
    <row r="809" spans="20:20" x14ac:dyDescent="0.25">
      <c r="T809" s="1"/>
    </row>
    <row r="810" spans="20:20" x14ac:dyDescent="0.25">
      <c r="T810" s="1"/>
    </row>
    <row r="811" spans="20:20" x14ac:dyDescent="0.25">
      <c r="T811" s="1"/>
    </row>
    <row r="812" spans="20:20" x14ac:dyDescent="0.25">
      <c r="T812" s="1"/>
    </row>
    <row r="813" spans="20:20" x14ac:dyDescent="0.25">
      <c r="T813" s="1"/>
    </row>
    <row r="814" spans="20:20" x14ac:dyDescent="0.25">
      <c r="T814" s="1"/>
    </row>
    <row r="815" spans="20:20" x14ac:dyDescent="0.25">
      <c r="T815" s="1"/>
    </row>
    <row r="816" spans="20:20" x14ac:dyDescent="0.25">
      <c r="T816" s="1"/>
    </row>
    <row r="817" spans="20:20" x14ac:dyDescent="0.25">
      <c r="T817" s="1"/>
    </row>
    <row r="818" spans="20:20" x14ac:dyDescent="0.25">
      <c r="T818" s="1"/>
    </row>
    <row r="819" spans="20:20" x14ac:dyDescent="0.25">
      <c r="T819" s="1"/>
    </row>
    <row r="820" spans="20:20" x14ac:dyDescent="0.25">
      <c r="T820" s="1"/>
    </row>
    <row r="821" spans="20:20" x14ac:dyDescent="0.25">
      <c r="T821" s="1"/>
    </row>
    <row r="822" spans="20:20" x14ac:dyDescent="0.25">
      <c r="T822" s="1"/>
    </row>
    <row r="823" spans="20:20" x14ac:dyDescent="0.25">
      <c r="T823" s="1"/>
    </row>
    <row r="824" spans="20:20" x14ac:dyDescent="0.25">
      <c r="T824" s="1"/>
    </row>
    <row r="825" spans="20:20" x14ac:dyDescent="0.25">
      <c r="T825" s="1"/>
    </row>
    <row r="826" spans="20:20" x14ac:dyDescent="0.25">
      <c r="T826" s="1"/>
    </row>
    <row r="827" spans="20:20" x14ac:dyDescent="0.25">
      <c r="T827" s="1"/>
    </row>
    <row r="828" spans="20:20" x14ac:dyDescent="0.25">
      <c r="T828" s="1"/>
    </row>
    <row r="829" spans="20:20" x14ac:dyDescent="0.25">
      <c r="T829" s="1"/>
    </row>
    <row r="830" spans="20:20" x14ac:dyDescent="0.25">
      <c r="T830" s="1"/>
    </row>
    <row r="831" spans="20:20" x14ac:dyDescent="0.25">
      <c r="T831" s="1"/>
    </row>
    <row r="832" spans="20:20" x14ac:dyDescent="0.25">
      <c r="T832" s="1"/>
    </row>
    <row r="833" spans="20:20" x14ac:dyDescent="0.25">
      <c r="T833" s="1"/>
    </row>
    <row r="834" spans="20:20" x14ac:dyDescent="0.25">
      <c r="T834" s="1"/>
    </row>
    <row r="835" spans="20:20" x14ac:dyDescent="0.25">
      <c r="T835" s="1"/>
    </row>
    <row r="836" spans="20:20" x14ac:dyDescent="0.25">
      <c r="T836" s="1"/>
    </row>
    <row r="837" spans="20:20" x14ac:dyDescent="0.25">
      <c r="T837" s="1"/>
    </row>
    <row r="838" spans="20:20" x14ac:dyDescent="0.25">
      <c r="T838" s="1"/>
    </row>
    <row r="839" spans="20:20" x14ac:dyDescent="0.25">
      <c r="T839" s="1"/>
    </row>
    <row r="840" spans="20:20" x14ac:dyDescent="0.25">
      <c r="T840" s="1"/>
    </row>
    <row r="841" spans="20:20" x14ac:dyDescent="0.25">
      <c r="T841" s="1"/>
    </row>
    <row r="842" spans="20:20" x14ac:dyDescent="0.25">
      <c r="T842" s="1"/>
    </row>
    <row r="843" spans="20:20" x14ac:dyDescent="0.25">
      <c r="T843" s="1"/>
    </row>
    <row r="844" spans="20:20" x14ac:dyDescent="0.25">
      <c r="T844" s="1"/>
    </row>
    <row r="845" spans="20:20" x14ac:dyDescent="0.25">
      <c r="T845" s="1"/>
    </row>
    <row r="846" spans="20:20" x14ac:dyDescent="0.25">
      <c r="T846" s="1"/>
    </row>
    <row r="847" spans="20:20" x14ac:dyDescent="0.25">
      <c r="T847" s="1"/>
    </row>
    <row r="848" spans="20:20" x14ac:dyDescent="0.25">
      <c r="T848" s="1"/>
    </row>
    <row r="849" spans="20:20" x14ac:dyDescent="0.25">
      <c r="T849" s="1"/>
    </row>
    <row r="850" spans="20:20" x14ac:dyDescent="0.25">
      <c r="T850" s="1"/>
    </row>
    <row r="851" spans="20:20" x14ac:dyDescent="0.25">
      <c r="T851" s="1"/>
    </row>
    <row r="852" spans="20:20" x14ac:dyDescent="0.25">
      <c r="T852" s="1"/>
    </row>
    <row r="853" spans="20:20" x14ac:dyDescent="0.25">
      <c r="T853" s="1"/>
    </row>
    <row r="854" spans="20:20" x14ac:dyDescent="0.25">
      <c r="T854" s="1"/>
    </row>
    <row r="855" spans="20:20" x14ac:dyDescent="0.25">
      <c r="T855" s="1"/>
    </row>
    <row r="856" spans="20:20" x14ac:dyDescent="0.25">
      <c r="T856" s="1"/>
    </row>
    <row r="857" spans="20:20" x14ac:dyDescent="0.25">
      <c r="T857" s="1"/>
    </row>
    <row r="858" spans="20:20" x14ac:dyDescent="0.25">
      <c r="T858" s="1"/>
    </row>
    <row r="859" spans="20:20" x14ac:dyDescent="0.25">
      <c r="T859" s="1"/>
    </row>
    <row r="860" spans="20:20" x14ac:dyDescent="0.25">
      <c r="T860" s="1"/>
    </row>
    <row r="861" spans="20:20" x14ac:dyDescent="0.25">
      <c r="T861" s="1"/>
    </row>
    <row r="862" spans="20:20" x14ac:dyDescent="0.25">
      <c r="T862" s="1"/>
    </row>
    <row r="863" spans="20:20" x14ac:dyDescent="0.25">
      <c r="T863" s="1"/>
    </row>
    <row r="864" spans="20:20" x14ac:dyDescent="0.25">
      <c r="T864" s="1"/>
    </row>
    <row r="865" spans="20:20" x14ac:dyDescent="0.25">
      <c r="T865" s="1"/>
    </row>
    <row r="866" spans="20:20" x14ac:dyDescent="0.25">
      <c r="T866" s="1"/>
    </row>
    <row r="867" spans="20:20" x14ac:dyDescent="0.25">
      <c r="T867" s="1"/>
    </row>
    <row r="868" spans="20:20" x14ac:dyDescent="0.25">
      <c r="T868" s="1"/>
    </row>
    <row r="869" spans="20:20" x14ac:dyDescent="0.25">
      <c r="T869" s="1"/>
    </row>
    <row r="870" spans="20:20" x14ac:dyDescent="0.25">
      <c r="T870" s="1"/>
    </row>
    <row r="871" spans="20:20" x14ac:dyDescent="0.25">
      <c r="T871" s="1"/>
    </row>
    <row r="872" spans="20:20" x14ac:dyDescent="0.25">
      <c r="T872" s="1"/>
    </row>
    <row r="873" spans="20:20" x14ac:dyDescent="0.25">
      <c r="T873" s="1"/>
    </row>
    <row r="874" spans="20:20" x14ac:dyDescent="0.25">
      <c r="T874" s="1"/>
    </row>
    <row r="875" spans="20:20" x14ac:dyDescent="0.25">
      <c r="T875" s="1"/>
    </row>
    <row r="876" spans="20:20" x14ac:dyDescent="0.25">
      <c r="T876" s="1"/>
    </row>
    <row r="877" spans="20:20" x14ac:dyDescent="0.25">
      <c r="T877" s="1"/>
    </row>
    <row r="878" spans="20:20" x14ac:dyDescent="0.25">
      <c r="T878" s="1"/>
    </row>
    <row r="879" spans="20:20" x14ac:dyDescent="0.25">
      <c r="T879" s="1"/>
    </row>
    <row r="880" spans="20:20" x14ac:dyDescent="0.25">
      <c r="T880" s="1"/>
    </row>
    <row r="881" spans="20:20" x14ac:dyDescent="0.25">
      <c r="T881" s="1"/>
    </row>
    <row r="882" spans="20:20" x14ac:dyDescent="0.25">
      <c r="T882" s="1"/>
    </row>
    <row r="883" spans="20:20" x14ac:dyDescent="0.25">
      <c r="T883" s="1"/>
    </row>
    <row r="884" spans="20:20" x14ac:dyDescent="0.25">
      <c r="T884" s="1"/>
    </row>
    <row r="885" spans="20:20" x14ac:dyDescent="0.25">
      <c r="T885" s="1"/>
    </row>
    <row r="886" spans="20:20" x14ac:dyDescent="0.25">
      <c r="T886" s="1"/>
    </row>
    <row r="887" spans="20:20" x14ac:dyDescent="0.25">
      <c r="T887" s="1"/>
    </row>
    <row r="888" spans="20:20" x14ac:dyDescent="0.25">
      <c r="T888" s="1"/>
    </row>
    <row r="889" spans="20:20" x14ac:dyDescent="0.25">
      <c r="T889" s="1"/>
    </row>
    <row r="890" spans="20:20" x14ac:dyDescent="0.25">
      <c r="T890" s="1"/>
    </row>
    <row r="891" spans="20:20" x14ac:dyDescent="0.25">
      <c r="T891" s="1"/>
    </row>
    <row r="892" spans="20:20" x14ac:dyDescent="0.25">
      <c r="T892" s="1"/>
    </row>
    <row r="893" spans="20:20" x14ac:dyDescent="0.25">
      <c r="T893" s="1"/>
    </row>
    <row r="894" spans="20:20" x14ac:dyDescent="0.25">
      <c r="T894" s="1"/>
    </row>
    <row r="895" spans="20:20" x14ac:dyDescent="0.25">
      <c r="T895" s="1"/>
    </row>
    <row r="896" spans="20:20" x14ac:dyDescent="0.25">
      <c r="T896" s="1"/>
    </row>
    <row r="897" spans="20:20" x14ac:dyDescent="0.25">
      <c r="T897" s="1"/>
    </row>
    <row r="898" spans="20:20" x14ac:dyDescent="0.25">
      <c r="T898" s="1"/>
    </row>
    <row r="899" spans="20:20" x14ac:dyDescent="0.25">
      <c r="T899" s="1"/>
    </row>
    <row r="900" spans="20:20" x14ac:dyDescent="0.25">
      <c r="T900" s="1"/>
    </row>
    <row r="901" spans="20:20" x14ac:dyDescent="0.25">
      <c r="T901" s="1"/>
    </row>
    <row r="902" spans="20:20" x14ac:dyDescent="0.25">
      <c r="T902" s="1"/>
    </row>
    <row r="903" spans="20:20" x14ac:dyDescent="0.25">
      <c r="T903" s="1"/>
    </row>
    <row r="904" spans="20:20" x14ac:dyDescent="0.25">
      <c r="T904" s="1"/>
    </row>
    <row r="905" spans="20:20" x14ac:dyDescent="0.25">
      <c r="T905" s="1"/>
    </row>
    <row r="906" spans="20:20" x14ac:dyDescent="0.25">
      <c r="T906" s="1"/>
    </row>
    <row r="907" spans="20:20" x14ac:dyDescent="0.25">
      <c r="T907" s="1"/>
    </row>
    <row r="908" spans="20:20" x14ac:dyDescent="0.25">
      <c r="T908" s="1"/>
    </row>
    <row r="909" spans="20:20" x14ac:dyDescent="0.25">
      <c r="T909" s="1"/>
    </row>
    <row r="910" spans="20:20" x14ac:dyDescent="0.25">
      <c r="T910" s="1"/>
    </row>
    <row r="911" spans="20:20" x14ac:dyDescent="0.25">
      <c r="T911" s="1"/>
    </row>
    <row r="912" spans="20:20" x14ac:dyDescent="0.25">
      <c r="T912" s="1"/>
    </row>
    <row r="913" spans="20:20" x14ac:dyDescent="0.25">
      <c r="T913" s="1"/>
    </row>
    <row r="914" spans="20:20" x14ac:dyDescent="0.25">
      <c r="T914" s="1"/>
    </row>
    <row r="915" spans="20:20" x14ac:dyDescent="0.25">
      <c r="T915" s="1"/>
    </row>
    <row r="916" spans="20:20" x14ac:dyDescent="0.25">
      <c r="T916" s="1"/>
    </row>
    <row r="917" spans="20:20" x14ac:dyDescent="0.25">
      <c r="T917" s="1"/>
    </row>
    <row r="918" spans="20:20" x14ac:dyDescent="0.25">
      <c r="T918" s="1"/>
    </row>
    <row r="919" spans="20:20" x14ac:dyDescent="0.25">
      <c r="T919" s="1"/>
    </row>
    <row r="920" spans="20:20" x14ac:dyDescent="0.25">
      <c r="T920" s="1"/>
    </row>
    <row r="921" spans="20:20" x14ac:dyDescent="0.25">
      <c r="T921" s="1"/>
    </row>
    <row r="922" spans="20:20" x14ac:dyDescent="0.25">
      <c r="T922" s="1"/>
    </row>
    <row r="923" spans="20:20" x14ac:dyDescent="0.25">
      <c r="T923" s="1"/>
    </row>
    <row r="924" spans="20:20" x14ac:dyDescent="0.25">
      <c r="T924" s="1"/>
    </row>
    <row r="925" spans="20:20" x14ac:dyDescent="0.25">
      <c r="T925" s="1"/>
    </row>
    <row r="926" spans="20:20" x14ac:dyDescent="0.25">
      <c r="T926" s="1"/>
    </row>
    <row r="927" spans="20:20" x14ac:dyDescent="0.25">
      <c r="T927" s="1"/>
    </row>
    <row r="928" spans="20:20" x14ac:dyDescent="0.25">
      <c r="T928" s="1"/>
    </row>
    <row r="929" spans="20:20" x14ac:dyDescent="0.25">
      <c r="T929" s="1"/>
    </row>
    <row r="930" spans="20:20" x14ac:dyDescent="0.25">
      <c r="T930" s="1"/>
    </row>
    <row r="931" spans="20:20" x14ac:dyDescent="0.25">
      <c r="T931" s="1"/>
    </row>
    <row r="932" spans="20:20" x14ac:dyDescent="0.25">
      <c r="T932" s="1"/>
    </row>
    <row r="933" spans="20:20" x14ac:dyDescent="0.25">
      <c r="T933" s="1"/>
    </row>
    <row r="934" spans="20:20" x14ac:dyDescent="0.25">
      <c r="T934" s="1"/>
    </row>
    <row r="935" spans="20:20" x14ac:dyDescent="0.25">
      <c r="T935" s="1"/>
    </row>
    <row r="936" spans="20:20" x14ac:dyDescent="0.25">
      <c r="T936" s="1"/>
    </row>
    <row r="937" spans="20:20" x14ac:dyDescent="0.25">
      <c r="T937" s="1"/>
    </row>
    <row r="938" spans="20:20" x14ac:dyDescent="0.25">
      <c r="T938" s="1"/>
    </row>
    <row r="939" spans="20:20" x14ac:dyDescent="0.25">
      <c r="T939" s="1"/>
    </row>
    <row r="940" spans="20:20" x14ac:dyDescent="0.25">
      <c r="T940" s="1"/>
    </row>
    <row r="941" spans="20:20" x14ac:dyDescent="0.25">
      <c r="T941" s="1"/>
    </row>
    <row r="942" spans="20:20" x14ac:dyDescent="0.25">
      <c r="T942" s="1"/>
    </row>
    <row r="943" spans="20:20" x14ac:dyDescent="0.25">
      <c r="T943" s="1"/>
    </row>
    <row r="944" spans="20:20" x14ac:dyDescent="0.25">
      <c r="T944" s="1"/>
    </row>
    <row r="945" spans="20:20" x14ac:dyDescent="0.25">
      <c r="T945" s="1"/>
    </row>
    <row r="946" spans="20:20" x14ac:dyDescent="0.25">
      <c r="T946" s="1"/>
    </row>
    <row r="947" spans="20:20" x14ac:dyDescent="0.25">
      <c r="T947" s="1"/>
    </row>
    <row r="948" spans="20:20" x14ac:dyDescent="0.25">
      <c r="T948" s="1"/>
    </row>
    <row r="949" spans="20:20" x14ac:dyDescent="0.25">
      <c r="T949" s="1"/>
    </row>
    <row r="950" spans="20:20" x14ac:dyDescent="0.25">
      <c r="T950" s="1"/>
    </row>
    <row r="951" spans="20:20" x14ac:dyDescent="0.25">
      <c r="T951" s="1"/>
    </row>
    <row r="952" spans="20:20" x14ac:dyDescent="0.25">
      <c r="T952" s="1"/>
    </row>
    <row r="953" spans="20:20" x14ac:dyDescent="0.25">
      <c r="T953" s="1"/>
    </row>
    <row r="954" spans="20:20" x14ac:dyDescent="0.25">
      <c r="T954" s="1"/>
    </row>
    <row r="955" spans="20:20" x14ac:dyDescent="0.25">
      <c r="T955" s="1"/>
    </row>
    <row r="956" spans="20:20" x14ac:dyDescent="0.25">
      <c r="T956" s="1"/>
    </row>
    <row r="957" spans="20:20" x14ac:dyDescent="0.25">
      <c r="T957" s="1"/>
    </row>
    <row r="958" spans="20:20" x14ac:dyDescent="0.25">
      <c r="T958" s="1"/>
    </row>
    <row r="959" spans="20:20" x14ac:dyDescent="0.25">
      <c r="T959" s="1"/>
    </row>
    <row r="960" spans="20:20" x14ac:dyDescent="0.25">
      <c r="T960" s="1"/>
    </row>
    <row r="961" spans="20:20" x14ac:dyDescent="0.25">
      <c r="T961" s="1"/>
    </row>
    <row r="962" spans="20:20" x14ac:dyDescent="0.25">
      <c r="T962" s="1"/>
    </row>
    <row r="963" spans="20:20" x14ac:dyDescent="0.25">
      <c r="T963" s="1"/>
    </row>
    <row r="964" spans="20:20" x14ac:dyDescent="0.25">
      <c r="T964" s="1"/>
    </row>
    <row r="965" spans="20:20" x14ac:dyDescent="0.25">
      <c r="T965" s="1"/>
    </row>
    <row r="966" spans="20:20" x14ac:dyDescent="0.25">
      <c r="T966" s="1"/>
    </row>
    <row r="967" spans="20:20" x14ac:dyDescent="0.25">
      <c r="T967" s="1"/>
    </row>
    <row r="968" spans="20:20" x14ac:dyDescent="0.25">
      <c r="T968" s="1"/>
    </row>
    <row r="969" spans="20:20" x14ac:dyDescent="0.25">
      <c r="T969" s="1"/>
    </row>
    <row r="970" spans="20:20" x14ac:dyDescent="0.25">
      <c r="T970" s="1"/>
    </row>
    <row r="971" spans="20:20" x14ac:dyDescent="0.25">
      <c r="T971" s="1"/>
    </row>
    <row r="972" spans="20:20" x14ac:dyDescent="0.25">
      <c r="T972" s="1"/>
    </row>
    <row r="973" spans="20:20" x14ac:dyDescent="0.25">
      <c r="T973" s="1"/>
    </row>
    <row r="974" spans="20:20" x14ac:dyDescent="0.25">
      <c r="T974" s="1"/>
    </row>
    <row r="975" spans="20:20" x14ac:dyDescent="0.25">
      <c r="T975" s="1"/>
    </row>
    <row r="976" spans="20:20" x14ac:dyDescent="0.25">
      <c r="T976" s="1"/>
    </row>
    <row r="977" spans="20:20" x14ac:dyDescent="0.25">
      <c r="T977" s="1"/>
    </row>
    <row r="978" spans="20:20" x14ac:dyDescent="0.25">
      <c r="T978" s="1"/>
    </row>
    <row r="979" spans="20:20" x14ac:dyDescent="0.25">
      <c r="T979" s="1"/>
    </row>
    <row r="980" spans="20:20" x14ac:dyDescent="0.25">
      <c r="T980" s="1"/>
    </row>
    <row r="981" spans="20:20" x14ac:dyDescent="0.25">
      <c r="T981" s="1"/>
    </row>
    <row r="982" spans="20:20" x14ac:dyDescent="0.25">
      <c r="T982" s="1"/>
    </row>
    <row r="983" spans="20:20" x14ac:dyDescent="0.25">
      <c r="T983" s="1"/>
    </row>
    <row r="984" spans="20:20" x14ac:dyDescent="0.25">
      <c r="T984" s="1"/>
    </row>
    <row r="985" spans="20:20" x14ac:dyDescent="0.25">
      <c r="T985" s="1"/>
    </row>
    <row r="986" spans="20:20" x14ac:dyDescent="0.25">
      <c r="T986" s="1"/>
    </row>
    <row r="987" spans="20:20" x14ac:dyDescent="0.25">
      <c r="T987" s="1"/>
    </row>
    <row r="988" spans="20:20" x14ac:dyDescent="0.25">
      <c r="T988" s="1"/>
    </row>
    <row r="989" spans="20:20" x14ac:dyDescent="0.25">
      <c r="T989" s="1"/>
    </row>
    <row r="990" spans="20:20" x14ac:dyDescent="0.25">
      <c r="T990" s="1"/>
    </row>
    <row r="991" spans="20:20" x14ac:dyDescent="0.25">
      <c r="T991" s="1"/>
    </row>
    <row r="992" spans="20:20" x14ac:dyDescent="0.25">
      <c r="T992" s="1"/>
    </row>
    <row r="993" spans="20:20" x14ac:dyDescent="0.25">
      <c r="T993" s="1"/>
    </row>
    <row r="994" spans="20:20" x14ac:dyDescent="0.25">
      <c r="T994" s="1"/>
    </row>
    <row r="995" spans="20:20" x14ac:dyDescent="0.25">
      <c r="T995" s="1"/>
    </row>
    <row r="996" spans="20:20" x14ac:dyDescent="0.25">
      <c r="T996" s="1"/>
    </row>
    <row r="997" spans="20:20" x14ac:dyDescent="0.25">
      <c r="T997" s="1"/>
    </row>
    <row r="998" spans="20:20" x14ac:dyDescent="0.25">
      <c r="T998" s="1"/>
    </row>
    <row r="999" spans="20:20" x14ac:dyDescent="0.25">
      <c r="T999" s="1"/>
    </row>
    <row r="1000" spans="20:20" x14ac:dyDescent="0.25">
      <c r="T1000" s="1"/>
    </row>
    <row r="1001" spans="20:20" x14ac:dyDescent="0.25">
      <c r="T1001" s="1"/>
    </row>
    <row r="1002" spans="20:20" x14ac:dyDescent="0.25">
      <c r="T1002" s="1"/>
    </row>
    <row r="1003" spans="20:20" x14ac:dyDescent="0.25">
      <c r="T1003" s="1"/>
    </row>
    <row r="1004" spans="20:20" x14ac:dyDescent="0.25">
      <c r="T1004" s="1"/>
    </row>
    <row r="1005" spans="20:20" x14ac:dyDescent="0.25">
      <c r="T1005" s="1"/>
    </row>
    <row r="1006" spans="20:20" x14ac:dyDescent="0.25">
      <c r="T1006" s="1"/>
    </row>
    <row r="1007" spans="20:20" x14ac:dyDescent="0.25">
      <c r="T1007" s="1"/>
    </row>
    <row r="1008" spans="20:20" x14ac:dyDescent="0.25">
      <c r="T1008" s="1"/>
    </row>
    <row r="1009" spans="20:20" x14ac:dyDescent="0.25">
      <c r="T1009" s="1"/>
    </row>
    <row r="1010" spans="20:20" x14ac:dyDescent="0.25">
      <c r="T1010" s="1"/>
    </row>
    <row r="1011" spans="20:20" x14ac:dyDescent="0.25">
      <c r="T1011" s="1"/>
    </row>
    <row r="1012" spans="20:20" x14ac:dyDescent="0.25">
      <c r="T1012" s="1"/>
    </row>
    <row r="1013" spans="20:20" x14ac:dyDescent="0.25">
      <c r="T1013" s="1"/>
    </row>
    <row r="1014" spans="20:20" x14ac:dyDescent="0.25">
      <c r="T1014" s="1"/>
    </row>
    <row r="1015" spans="20:20" x14ac:dyDescent="0.25">
      <c r="T1015" s="1"/>
    </row>
    <row r="1016" spans="20:20" x14ac:dyDescent="0.25">
      <c r="T1016" s="1"/>
    </row>
    <row r="1017" spans="20:20" x14ac:dyDescent="0.25">
      <c r="T1017" s="1"/>
    </row>
    <row r="1018" spans="20:20" x14ac:dyDescent="0.25">
      <c r="T1018" s="1"/>
    </row>
    <row r="1019" spans="20:20" x14ac:dyDescent="0.25">
      <c r="T1019" s="1"/>
    </row>
    <row r="1020" spans="20:20" x14ac:dyDescent="0.25">
      <c r="T1020" s="1"/>
    </row>
    <row r="1021" spans="20:20" x14ac:dyDescent="0.25">
      <c r="T1021" s="1"/>
    </row>
    <row r="1022" spans="20:20" x14ac:dyDescent="0.25">
      <c r="T1022" s="1"/>
    </row>
    <row r="1023" spans="20:20" x14ac:dyDescent="0.25">
      <c r="T1023" s="1"/>
    </row>
    <row r="1024" spans="20:20" x14ac:dyDescent="0.25">
      <c r="T1024" s="1"/>
    </row>
    <row r="1025" spans="20:20" x14ac:dyDescent="0.25">
      <c r="T1025" s="1"/>
    </row>
    <row r="1026" spans="20:20" x14ac:dyDescent="0.25">
      <c r="T1026" s="1"/>
    </row>
    <row r="1027" spans="20:20" x14ac:dyDescent="0.25">
      <c r="T1027" s="1"/>
    </row>
    <row r="1028" spans="20:20" x14ac:dyDescent="0.25">
      <c r="T1028" s="1"/>
    </row>
    <row r="1029" spans="20:20" x14ac:dyDescent="0.25">
      <c r="T1029" s="1"/>
    </row>
    <row r="1030" spans="20:20" x14ac:dyDescent="0.25">
      <c r="T1030" s="1"/>
    </row>
    <row r="1031" spans="20:20" x14ac:dyDescent="0.25">
      <c r="T1031" s="1"/>
    </row>
    <row r="1032" spans="20:20" x14ac:dyDescent="0.25">
      <c r="T1032" s="1"/>
    </row>
    <row r="1033" spans="20:20" x14ac:dyDescent="0.25">
      <c r="T1033" s="1"/>
    </row>
    <row r="1034" spans="20:20" x14ac:dyDescent="0.25">
      <c r="T1034" s="1"/>
    </row>
    <row r="1035" spans="20:20" x14ac:dyDescent="0.25">
      <c r="T1035" s="1"/>
    </row>
    <row r="1036" spans="20:20" x14ac:dyDescent="0.25">
      <c r="T1036" s="1"/>
    </row>
    <row r="1037" spans="20:20" x14ac:dyDescent="0.25">
      <c r="T1037" s="1"/>
    </row>
    <row r="1038" spans="20:20" x14ac:dyDescent="0.25">
      <c r="T1038" s="1"/>
    </row>
    <row r="1039" spans="20:20" x14ac:dyDescent="0.25">
      <c r="T1039" s="1"/>
    </row>
    <row r="1040" spans="20:20" x14ac:dyDescent="0.25">
      <c r="T1040" s="1"/>
    </row>
    <row r="1041" spans="20:20" x14ac:dyDescent="0.25">
      <c r="T1041" s="1"/>
    </row>
    <row r="1042" spans="20:20" x14ac:dyDescent="0.25">
      <c r="T1042" s="1"/>
    </row>
    <row r="1043" spans="20:20" x14ac:dyDescent="0.25">
      <c r="T1043" s="1"/>
    </row>
    <row r="1044" spans="20:20" x14ac:dyDescent="0.25">
      <c r="T1044" s="1"/>
    </row>
    <row r="1045" spans="20:20" x14ac:dyDescent="0.25">
      <c r="T1045" s="1"/>
    </row>
    <row r="1046" spans="20:20" x14ac:dyDescent="0.25">
      <c r="T1046" s="1"/>
    </row>
    <row r="1047" spans="20:20" x14ac:dyDescent="0.25">
      <c r="T1047" s="1"/>
    </row>
    <row r="1048" spans="20:20" x14ac:dyDescent="0.25">
      <c r="T1048" s="1"/>
    </row>
    <row r="1049" spans="20:20" x14ac:dyDescent="0.25">
      <c r="T1049" s="1"/>
    </row>
    <row r="1050" spans="20:20" x14ac:dyDescent="0.25">
      <c r="T1050" s="1"/>
    </row>
    <row r="1051" spans="20:20" x14ac:dyDescent="0.25">
      <c r="T1051" s="1"/>
    </row>
    <row r="1052" spans="20:20" x14ac:dyDescent="0.25">
      <c r="T1052" s="1"/>
    </row>
    <row r="1053" spans="20:20" x14ac:dyDescent="0.25">
      <c r="T1053" s="1"/>
    </row>
    <row r="1054" spans="20:20" x14ac:dyDescent="0.25">
      <c r="T1054" s="1"/>
    </row>
    <row r="1055" spans="20:20" x14ac:dyDescent="0.25">
      <c r="T1055" s="1"/>
    </row>
    <row r="1056" spans="20:20" x14ac:dyDescent="0.25">
      <c r="T1056" s="1"/>
    </row>
    <row r="1057" spans="20:20" x14ac:dyDescent="0.25">
      <c r="T1057" s="1"/>
    </row>
    <row r="1058" spans="20:20" x14ac:dyDescent="0.25">
      <c r="T1058" s="1"/>
    </row>
    <row r="1059" spans="20:20" x14ac:dyDescent="0.25">
      <c r="T1059" s="1"/>
    </row>
    <row r="1060" spans="20:20" x14ac:dyDescent="0.25">
      <c r="T1060" s="1"/>
    </row>
    <row r="1061" spans="20:20" x14ac:dyDescent="0.25">
      <c r="T1061" s="1"/>
    </row>
    <row r="1062" spans="20:20" x14ac:dyDescent="0.25">
      <c r="T1062" s="1"/>
    </row>
    <row r="1063" spans="20:20" x14ac:dyDescent="0.25">
      <c r="T1063" s="1"/>
    </row>
    <row r="1064" spans="20:20" x14ac:dyDescent="0.25">
      <c r="T1064" s="1"/>
    </row>
    <row r="1065" spans="20:20" x14ac:dyDescent="0.25">
      <c r="T1065" s="1"/>
    </row>
    <row r="1066" spans="20:20" x14ac:dyDescent="0.25">
      <c r="T1066" s="1"/>
    </row>
    <row r="1067" spans="20:20" x14ac:dyDescent="0.25">
      <c r="T1067" s="1"/>
    </row>
    <row r="1068" spans="20:20" x14ac:dyDescent="0.25">
      <c r="T1068" s="1"/>
    </row>
    <row r="1069" spans="20:20" x14ac:dyDescent="0.25">
      <c r="T1069" s="1"/>
    </row>
    <row r="1070" spans="20:20" x14ac:dyDescent="0.25">
      <c r="T1070" s="1"/>
    </row>
    <row r="1071" spans="20:20" x14ac:dyDescent="0.25">
      <c r="T1071" s="1"/>
    </row>
    <row r="1072" spans="20:20" x14ac:dyDescent="0.25">
      <c r="T1072" s="1"/>
    </row>
    <row r="1073" spans="20:20" x14ac:dyDescent="0.25">
      <c r="T1073" s="1"/>
    </row>
    <row r="1074" spans="20:20" x14ac:dyDescent="0.25">
      <c r="T1074" s="1"/>
    </row>
    <row r="1075" spans="20:20" x14ac:dyDescent="0.25">
      <c r="T1075" s="1"/>
    </row>
    <row r="1076" spans="20:20" x14ac:dyDescent="0.25">
      <c r="T1076" s="1"/>
    </row>
    <row r="1077" spans="20:20" x14ac:dyDescent="0.25">
      <c r="T1077" s="1"/>
    </row>
    <row r="1078" spans="20:20" x14ac:dyDescent="0.25">
      <c r="T1078" s="1"/>
    </row>
    <row r="1079" spans="20:20" x14ac:dyDescent="0.25">
      <c r="T1079" s="1"/>
    </row>
    <row r="1080" spans="20:20" x14ac:dyDescent="0.25">
      <c r="T1080" s="1"/>
    </row>
    <row r="1081" spans="20:20" x14ac:dyDescent="0.25">
      <c r="T1081" s="1"/>
    </row>
    <row r="1082" spans="20:20" x14ac:dyDescent="0.25">
      <c r="T1082" s="1"/>
    </row>
    <row r="1083" spans="20:20" x14ac:dyDescent="0.25">
      <c r="T1083" s="1"/>
    </row>
    <row r="1084" spans="20:20" x14ac:dyDescent="0.25">
      <c r="T1084" s="1"/>
    </row>
    <row r="1085" spans="20:20" x14ac:dyDescent="0.25">
      <c r="T1085" s="1"/>
    </row>
    <row r="1086" spans="20:20" x14ac:dyDescent="0.25">
      <c r="T1086" s="1"/>
    </row>
    <row r="1087" spans="20:20" x14ac:dyDescent="0.25">
      <c r="T1087" s="1"/>
    </row>
    <row r="1088" spans="20:20" x14ac:dyDescent="0.25">
      <c r="T1088" s="1"/>
    </row>
    <row r="1089" spans="20:20" x14ac:dyDescent="0.25">
      <c r="T1089" s="1"/>
    </row>
    <row r="1090" spans="20:20" x14ac:dyDescent="0.25">
      <c r="T1090" s="1"/>
    </row>
    <row r="1091" spans="20:20" x14ac:dyDescent="0.25">
      <c r="T1091" s="1"/>
    </row>
    <row r="1092" spans="20:20" x14ac:dyDescent="0.25">
      <c r="T1092" s="1"/>
    </row>
    <row r="1093" spans="20:20" x14ac:dyDescent="0.25">
      <c r="T1093" s="1"/>
    </row>
    <row r="1094" spans="20:20" x14ac:dyDescent="0.25">
      <c r="T1094" s="1"/>
    </row>
    <row r="1095" spans="20:20" x14ac:dyDescent="0.25">
      <c r="T1095" s="1"/>
    </row>
    <row r="1096" spans="20:20" x14ac:dyDescent="0.25">
      <c r="T1096" s="1"/>
    </row>
    <row r="1097" spans="20:20" x14ac:dyDescent="0.25">
      <c r="T1097" s="1"/>
    </row>
    <row r="1098" spans="20:20" x14ac:dyDescent="0.25">
      <c r="T1098" s="1"/>
    </row>
    <row r="1099" spans="20:20" x14ac:dyDescent="0.25">
      <c r="T1099" s="1"/>
    </row>
    <row r="1100" spans="20:20" x14ac:dyDescent="0.25">
      <c r="T1100" s="1"/>
    </row>
    <row r="1101" spans="20:20" x14ac:dyDescent="0.25">
      <c r="T1101" s="1"/>
    </row>
    <row r="1102" spans="20:20" x14ac:dyDescent="0.25">
      <c r="T1102" s="1"/>
    </row>
    <row r="1103" spans="20:20" x14ac:dyDescent="0.25">
      <c r="T1103" s="1"/>
    </row>
    <row r="1104" spans="20:20" x14ac:dyDescent="0.25">
      <c r="T1104" s="1"/>
    </row>
    <row r="1105" spans="20:20" x14ac:dyDescent="0.25">
      <c r="T1105" s="1"/>
    </row>
    <row r="1106" spans="20:20" x14ac:dyDescent="0.25">
      <c r="T1106" s="1"/>
    </row>
    <row r="1107" spans="20:20" x14ac:dyDescent="0.25">
      <c r="T1107" s="1"/>
    </row>
    <row r="1108" spans="20:20" x14ac:dyDescent="0.25">
      <c r="T1108" s="1"/>
    </row>
    <row r="1109" spans="20:20" x14ac:dyDescent="0.25">
      <c r="T1109" s="1"/>
    </row>
    <row r="1110" spans="20:20" x14ac:dyDescent="0.25">
      <c r="T1110" s="1"/>
    </row>
    <row r="1111" spans="20:20" x14ac:dyDescent="0.25">
      <c r="T1111" s="1"/>
    </row>
    <row r="1112" spans="20:20" x14ac:dyDescent="0.25">
      <c r="T1112" s="1"/>
    </row>
    <row r="1113" spans="20:20" x14ac:dyDescent="0.25">
      <c r="T1113" s="1"/>
    </row>
    <row r="1114" spans="20:20" x14ac:dyDescent="0.25">
      <c r="T1114" s="1"/>
    </row>
    <row r="1115" spans="20:20" x14ac:dyDescent="0.25">
      <c r="T1115" s="1"/>
    </row>
    <row r="1116" spans="20:20" x14ac:dyDescent="0.25">
      <c r="T1116" s="1"/>
    </row>
    <row r="1117" spans="20:20" x14ac:dyDescent="0.25">
      <c r="T1117" s="1"/>
    </row>
    <row r="1118" spans="20:20" x14ac:dyDescent="0.25">
      <c r="T1118" s="1"/>
    </row>
    <row r="1119" spans="20:20" x14ac:dyDescent="0.25">
      <c r="T1119" s="1"/>
    </row>
    <row r="1120" spans="20:20" x14ac:dyDescent="0.25">
      <c r="T1120" s="1"/>
    </row>
    <row r="1121" spans="20:20" x14ac:dyDescent="0.25">
      <c r="T1121" s="1"/>
    </row>
    <row r="1122" spans="20:20" x14ac:dyDescent="0.25">
      <c r="T1122" s="1"/>
    </row>
    <row r="1123" spans="20:20" x14ac:dyDescent="0.25">
      <c r="T1123" s="1"/>
    </row>
    <row r="1124" spans="20:20" x14ac:dyDescent="0.25">
      <c r="T1124" s="1"/>
    </row>
    <row r="1125" spans="20:20" x14ac:dyDescent="0.25">
      <c r="T1125" s="1"/>
    </row>
    <row r="1126" spans="20:20" x14ac:dyDescent="0.25">
      <c r="T1126" s="1"/>
    </row>
    <row r="1127" spans="20:20" x14ac:dyDescent="0.25">
      <c r="T1127" s="1"/>
    </row>
    <row r="1128" spans="20:20" x14ac:dyDescent="0.25">
      <c r="T1128" s="1"/>
    </row>
    <row r="1129" spans="20:20" x14ac:dyDescent="0.25">
      <c r="T1129" s="1"/>
    </row>
    <row r="1130" spans="20:20" x14ac:dyDescent="0.25">
      <c r="T1130" s="1"/>
    </row>
    <row r="1131" spans="20:20" x14ac:dyDescent="0.25">
      <c r="T1131" s="1"/>
    </row>
    <row r="1132" spans="20:20" x14ac:dyDescent="0.25">
      <c r="T1132" s="1"/>
    </row>
    <row r="1133" spans="20:20" x14ac:dyDescent="0.25">
      <c r="T1133" s="1"/>
    </row>
    <row r="1134" spans="20:20" x14ac:dyDescent="0.25">
      <c r="T1134" s="1"/>
    </row>
    <row r="1135" spans="20:20" x14ac:dyDescent="0.25">
      <c r="T1135" s="1"/>
    </row>
    <row r="1136" spans="20:20" x14ac:dyDescent="0.25">
      <c r="T1136" s="1"/>
    </row>
    <row r="1137" spans="20:20" x14ac:dyDescent="0.25">
      <c r="T1137" s="1"/>
    </row>
    <row r="1138" spans="20:20" x14ac:dyDescent="0.25">
      <c r="T1138" s="1"/>
    </row>
    <row r="1139" spans="20:20" x14ac:dyDescent="0.25">
      <c r="T1139" s="1"/>
    </row>
    <row r="1140" spans="20:20" x14ac:dyDescent="0.25">
      <c r="T1140" s="1"/>
    </row>
    <row r="1141" spans="20:20" x14ac:dyDescent="0.25">
      <c r="T1141" s="1"/>
    </row>
    <row r="1142" spans="20:20" x14ac:dyDescent="0.25">
      <c r="T1142" s="1"/>
    </row>
    <row r="1143" spans="20:20" x14ac:dyDescent="0.25">
      <c r="T1143" s="1"/>
    </row>
    <row r="1144" spans="20:20" x14ac:dyDescent="0.25">
      <c r="T1144" s="1"/>
    </row>
    <row r="1145" spans="20:20" x14ac:dyDescent="0.25">
      <c r="T1145" s="1"/>
    </row>
    <row r="1146" spans="20:20" x14ac:dyDescent="0.25">
      <c r="T1146" s="1"/>
    </row>
    <row r="1147" spans="20:20" x14ac:dyDescent="0.25">
      <c r="T1147" s="1"/>
    </row>
    <row r="1148" spans="20:20" x14ac:dyDescent="0.25">
      <c r="T1148" s="1"/>
    </row>
    <row r="1149" spans="20:20" x14ac:dyDescent="0.25">
      <c r="T1149" s="1"/>
    </row>
    <row r="1150" spans="20:20" x14ac:dyDescent="0.25">
      <c r="T1150" s="1"/>
    </row>
    <row r="1151" spans="20:20" x14ac:dyDescent="0.25">
      <c r="T1151" s="1"/>
    </row>
    <row r="1152" spans="20:20" x14ac:dyDescent="0.25">
      <c r="T1152" s="1"/>
    </row>
    <row r="1153" spans="20:20" x14ac:dyDescent="0.25">
      <c r="T1153" s="1"/>
    </row>
    <row r="1154" spans="20:20" x14ac:dyDescent="0.25">
      <c r="T1154" s="1"/>
    </row>
    <row r="1155" spans="20:20" x14ac:dyDescent="0.25">
      <c r="T1155" s="1"/>
    </row>
    <row r="1156" spans="20:20" x14ac:dyDescent="0.25">
      <c r="T1156" s="1"/>
    </row>
    <row r="1157" spans="20:20" x14ac:dyDescent="0.25">
      <c r="T1157" s="1"/>
    </row>
    <row r="1158" spans="20:20" x14ac:dyDescent="0.25">
      <c r="T1158" s="1"/>
    </row>
    <row r="1159" spans="20:20" x14ac:dyDescent="0.25">
      <c r="T1159" s="1"/>
    </row>
    <row r="1160" spans="20:20" x14ac:dyDescent="0.25">
      <c r="T1160" s="1"/>
    </row>
    <row r="1161" spans="20:20" x14ac:dyDescent="0.25">
      <c r="T1161" s="1"/>
    </row>
    <row r="1162" spans="20:20" x14ac:dyDescent="0.25">
      <c r="T1162" s="1"/>
    </row>
    <row r="1163" spans="20:20" x14ac:dyDescent="0.25">
      <c r="T1163" s="1"/>
    </row>
    <row r="1164" spans="20:20" x14ac:dyDescent="0.25">
      <c r="T1164" s="1"/>
    </row>
    <row r="1165" spans="20:20" x14ac:dyDescent="0.25">
      <c r="T1165" s="1"/>
    </row>
    <row r="1166" spans="20:20" x14ac:dyDescent="0.25">
      <c r="T1166" s="1"/>
    </row>
    <row r="1167" spans="20:20" x14ac:dyDescent="0.25">
      <c r="T1167" s="1"/>
    </row>
    <row r="1168" spans="20:20" x14ac:dyDescent="0.25">
      <c r="T1168" s="1"/>
    </row>
    <row r="1169" spans="20:20" x14ac:dyDescent="0.25">
      <c r="T1169" s="1"/>
    </row>
    <row r="1170" spans="20:20" x14ac:dyDescent="0.25">
      <c r="T1170" s="1"/>
    </row>
    <row r="1171" spans="20:20" x14ac:dyDescent="0.25">
      <c r="T1171" s="1"/>
    </row>
    <row r="1172" spans="20:20" x14ac:dyDescent="0.25">
      <c r="T1172" s="1"/>
    </row>
    <row r="1173" spans="20:20" x14ac:dyDescent="0.25">
      <c r="T1173" s="1"/>
    </row>
    <row r="1174" spans="20:20" x14ac:dyDescent="0.25">
      <c r="T1174" s="1"/>
    </row>
    <row r="1175" spans="20:20" x14ac:dyDescent="0.25">
      <c r="T1175" s="1"/>
    </row>
    <row r="1176" spans="20:20" x14ac:dyDescent="0.25">
      <c r="T1176" s="1"/>
    </row>
    <row r="1177" spans="20:20" x14ac:dyDescent="0.25">
      <c r="T1177" s="1"/>
    </row>
    <row r="1178" spans="20:20" x14ac:dyDescent="0.25">
      <c r="T1178" s="1"/>
    </row>
    <row r="1179" spans="20:20" x14ac:dyDescent="0.25">
      <c r="T1179" s="1"/>
    </row>
    <row r="1180" spans="20:20" x14ac:dyDescent="0.25">
      <c r="T1180" s="1"/>
    </row>
    <row r="1181" spans="20:20" x14ac:dyDescent="0.25">
      <c r="T1181" s="1"/>
    </row>
    <row r="1182" spans="20:20" x14ac:dyDescent="0.25">
      <c r="T1182" s="1"/>
    </row>
    <row r="1183" spans="20:20" x14ac:dyDescent="0.25">
      <c r="T1183" s="1"/>
    </row>
    <row r="1184" spans="20:20" x14ac:dyDescent="0.25">
      <c r="T1184" s="1"/>
    </row>
    <row r="1185" spans="20:20" x14ac:dyDescent="0.25">
      <c r="T1185" s="1"/>
    </row>
    <row r="1186" spans="20:20" x14ac:dyDescent="0.25">
      <c r="T1186" s="1"/>
    </row>
    <row r="1187" spans="20:20" x14ac:dyDescent="0.25">
      <c r="T1187" s="1"/>
    </row>
    <row r="1188" spans="20:20" x14ac:dyDescent="0.25">
      <c r="T1188" s="1"/>
    </row>
    <row r="1189" spans="20:20" x14ac:dyDescent="0.25">
      <c r="T1189" s="1"/>
    </row>
    <row r="1190" spans="20:20" x14ac:dyDescent="0.25">
      <c r="T1190" s="1"/>
    </row>
    <row r="1191" spans="20:20" x14ac:dyDescent="0.25">
      <c r="T1191" s="1"/>
    </row>
    <row r="1192" spans="20:20" x14ac:dyDescent="0.25">
      <c r="T1192" s="1"/>
    </row>
    <row r="1193" spans="20:20" x14ac:dyDescent="0.25">
      <c r="T1193" s="1"/>
    </row>
    <row r="1194" spans="20:20" x14ac:dyDescent="0.25">
      <c r="T1194" s="1"/>
    </row>
    <row r="1195" spans="20:20" x14ac:dyDescent="0.25">
      <c r="T1195" s="1"/>
    </row>
    <row r="1196" spans="20:20" x14ac:dyDescent="0.25">
      <c r="T1196" s="1"/>
    </row>
    <row r="1197" spans="20:20" x14ac:dyDescent="0.25">
      <c r="T1197" s="1"/>
    </row>
    <row r="1198" spans="20:20" x14ac:dyDescent="0.25">
      <c r="T1198" s="1"/>
    </row>
    <row r="1199" spans="20:20" x14ac:dyDescent="0.25">
      <c r="T1199" s="1"/>
    </row>
    <row r="1200" spans="20:20" x14ac:dyDescent="0.25">
      <c r="T1200" s="1"/>
    </row>
    <row r="1201" spans="20:20" x14ac:dyDescent="0.25">
      <c r="T1201" s="1"/>
    </row>
    <row r="1202" spans="20:20" x14ac:dyDescent="0.25">
      <c r="T1202" s="1"/>
    </row>
    <row r="1203" spans="20:20" x14ac:dyDescent="0.25">
      <c r="T1203" s="1"/>
    </row>
    <row r="1204" spans="20:20" x14ac:dyDescent="0.25">
      <c r="T1204" s="1"/>
    </row>
    <row r="1205" spans="20:20" x14ac:dyDescent="0.25">
      <c r="T1205" s="1"/>
    </row>
    <row r="1206" spans="20:20" x14ac:dyDescent="0.25">
      <c r="T1206" s="1"/>
    </row>
    <row r="1207" spans="20:20" x14ac:dyDescent="0.25">
      <c r="T1207" s="1"/>
    </row>
    <row r="1208" spans="20:20" x14ac:dyDescent="0.25">
      <c r="T1208" s="1"/>
    </row>
    <row r="1209" spans="20:20" x14ac:dyDescent="0.25">
      <c r="T1209" s="1"/>
    </row>
    <row r="1210" spans="20:20" x14ac:dyDescent="0.25">
      <c r="T1210" s="1"/>
    </row>
    <row r="1211" spans="20:20" x14ac:dyDescent="0.25">
      <c r="T1211" s="1"/>
    </row>
    <row r="1212" spans="20:20" x14ac:dyDescent="0.25">
      <c r="T1212" s="1"/>
    </row>
    <row r="1213" spans="20:20" x14ac:dyDescent="0.25">
      <c r="T1213" s="1"/>
    </row>
    <row r="1214" spans="20:20" x14ac:dyDescent="0.25">
      <c r="T1214" s="1"/>
    </row>
    <row r="1215" spans="20:20" x14ac:dyDescent="0.25">
      <c r="T1215" s="1"/>
    </row>
    <row r="1216" spans="20:20" x14ac:dyDescent="0.25">
      <c r="T1216" s="1"/>
    </row>
    <row r="1217" spans="20:20" x14ac:dyDescent="0.25">
      <c r="T1217" s="1"/>
    </row>
    <row r="1218" spans="20:20" x14ac:dyDescent="0.25">
      <c r="T1218" s="1"/>
    </row>
    <row r="1219" spans="20:20" x14ac:dyDescent="0.25">
      <c r="T1219" s="1"/>
    </row>
    <row r="1220" spans="20:20" x14ac:dyDescent="0.25">
      <c r="T1220" s="1"/>
    </row>
    <row r="1221" spans="20:20" x14ac:dyDescent="0.25">
      <c r="T1221" s="1"/>
    </row>
    <row r="1222" spans="20:20" x14ac:dyDescent="0.25">
      <c r="T1222" s="1"/>
    </row>
    <row r="1223" spans="20:20" x14ac:dyDescent="0.25">
      <c r="T1223" s="1"/>
    </row>
    <row r="1224" spans="20:20" x14ac:dyDescent="0.25">
      <c r="T1224" s="1"/>
    </row>
    <row r="1225" spans="20:20" x14ac:dyDescent="0.25">
      <c r="T1225" s="1"/>
    </row>
    <row r="1226" spans="20:20" x14ac:dyDescent="0.25">
      <c r="T1226" s="1"/>
    </row>
    <row r="1227" spans="20:20" x14ac:dyDescent="0.25">
      <c r="T1227" s="1"/>
    </row>
    <row r="1228" spans="20:20" x14ac:dyDescent="0.25">
      <c r="T1228" s="1"/>
    </row>
    <row r="1229" spans="20:20" x14ac:dyDescent="0.25">
      <c r="T1229" s="1"/>
    </row>
    <row r="1230" spans="20:20" x14ac:dyDescent="0.25">
      <c r="T1230" s="1"/>
    </row>
    <row r="1231" spans="20:20" x14ac:dyDescent="0.25">
      <c r="T1231" s="1"/>
    </row>
    <row r="1232" spans="20:20" x14ac:dyDescent="0.25">
      <c r="T1232" s="1"/>
    </row>
    <row r="1233" spans="20:20" x14ac:dyDescent="0.25">
      <c r="T1233" s="1"/>
    </row>
    <row r="1234" spans="20:20" x14ac:dyDescent="0.25">
      <c r="T1234" s="1"/>
    </row>
    <row r="1235" spans="20:20" x14ac:dyDescent="0.25">
      <c r="T1235" s="1"/>
    </row>
    <row r="1236" spans="20:20" x14ac:dyDescent="0.25">
      <c r="T1236" s="1"/>
    </row>
    <row r="1237" spans="20:20" x14ac:dyDescent="0.25">
      <c r="T1237" s="1"/>
    </row>
    <row r="1238" spans="20:20" x14ac:dyDescent="0.25">
      <c r="T1238" s="1"/>
    </row>
    <row r="1239" spans="20:20" x14ac:dyDescent="0.25">
      <c r="T1239" s="1"/>
    </row>
    <row r="1240" spans="20:20" x14ac:dyDescent="0.25">
      <c r="T1240" s="1"/>
    </row>
    <row r="1241" spans="20:20" x14ac:dyDescent="0.25">
      <c r="T1241" s="1"/>
    </row>
    <row r="1242" spans="20:20" x14ac:dyDescent="0.25">
      <c r="T1242" s="1"/>
    </row>
    <row r="1243" spans="20:20" x14ac:dyDescent="0.25">
      <c r="T1243" s="1"/>
    </row>
    <row r="1244" spans="20:20" x14ac:dyDescent="0.25">
      <c r="T1244" s="1"/>
    </row>
    <row r="1245" spans="20:20" x14ac:dyDescent="0.25">
      <c r="T1245" s="1"/>
    </row>
    <row r="1246" spans="20:20" x14ac:dyDescent="0.25">
      <c r="T1246" s="1"/>
    </row>
    <row r="1247" spans="20:20" x14ac:dyDescent="0.25">
      <c r="T1247" s="1"/>
    </row>
    <row r="1248" spans="20:20" x14ac:dyDescent="0.25">
      <c r="T1248" s="1"/>
    </row>
    <row r="1249" spans="20:20" x14ac:dyDescent="0.25">
      <c r="T1249" s="1"/>
    </row>
    <row r="1250" spans="20:20" x14ac:dyDescent="0.25">
      <c r="T1250" s="1"/>
    </row>
    <row r="1251" spans="20:20" x14ac:dyDescent="0.25">
      <c r="T1251" s="1"/>
    </row>
    <row r="1252" spans="20:20" x14ac:dyDescent="0.25">
      <c r="T1252" s="1"/>
    </row>
    <row r="1253" spans="20:20" x14ac:dyDescent="0.25">
      <c r="T1253" s="1"/>
    </row>
    <row r="1254" spans="20:20" x14ac:dyDescent="0.25">
      <c r="T1254" s="1"/>
    </row>
    <row r="1255" spans="20:20" x14ac:dyDescent="0.25">
      <c r="T1255" s="1"/>
    </row>
    <row r="1256" spans="20:20" x14ac:dyDescent="0.25">
      <c r="T1256" s="1"/>
    </row>
    <row r="1257" spans="20:20" x14ac:dyDescent="0.25">
      <c r="T1257" s="1"/>
    </row>
    <row r="1258" spans="20:20" x14ac:dyDescent="0.25">
      <c r="T1258" s="1"/>
    </row>
    <row r="1259" spans="20:20" x14ac:dyDescent="0.25">
      <c r="T1259" s="1"/>
    </row>
    <row r="1260" spans="20:20" x14ac:dyDescent="0.25">
      <c r="T1260" s="1"/>
    </row>
    <row r="1261" spans="20:20" x14ac:dyDescent="0.25">
      <c r="T1261" s="1"/>
    </row>
    <row r="1262" spans="20:20" x14ac:dyDescent="0.25">
      <c r="T1262" s="1"/>
    </row>
    <row r="1263" spans="20:20" x14ac:dyDescent="0.25">
      <c r="T1263" s="1"/>
    </row>
    <row r="1264" spans="20:20" x14ac:dyDescent="0.25">
      <c r="T1264" s="1"/>
    </row>
    <row r="1265" spans="20:20" x14ac:dyDescent="0.25">
      <c r="T1265" s="1"/>
    </row>
    <row r="1266" spans="20:20" x14ac:dyDescent="0.25">
      <c r="T1266" s="1"/>
    </row>
    <row r="1267" spans="20:20" x14ac:dyDescent="0.25">
      <c r="T1267" s="1"/>
    </row>
    <row r="1268" spans="20:20" x14ac:dyDescent="0.25">
      <c r="T1268" s="1"/>
    </row>
    <row r="1269" spans="20:20" x14ac:dyDescent="0.25">
      <c r="T1269" s="1"/>
    </row>
    <row r="1270" spans="20:20" x14ac:dyDescent="0.25">
      <c r="T1270" s="1"/>
    </row>
    <row r="1271" spans="20:20" x14ac:dyDescent="0.25">
      <c r="T1271" s="1"/>
    </row>
    <row r="1272" spans="20:20" x14ac:dyDescent="0.25">
      <c r="T1272" s="1"/>
    </row>
    <row r="1273" spans="20:20" x14ac:dyDescent="0.25">
      <c r="T1273" s="1"/>
    </row>
    <row r="1274" spans="20:20" x14ac:dyDescent="0.25">
      <c r="T1274" s="1"/>
    </row>
    <row r="1275" spans="20:20" x14ac:dyDescent="0.25">
      <c r="T1275" s="1"/>
    </row>
    <row r="1276" spans="20:20" x14ac:dyDescent="0.25">
      <c r="T1276" s="1"/>
    </row>
    <row r="1277" spans="20:20" x14ac:dyDescent="0.25">
      <c r="T1277" s="1"/>
    </row>
    <row r="1278" spans="20:20" x14ac:dyDescent="0.25">
      <c r="T1278" s="1"/>
    </row>
    <row r="1279" spans="20:20" x14ac:dyDescent="0.25">
      <c r="T1279" s="1"/>
    </row>
    <row r="1280" spans="20:20" x14ac:dyDescent="0.25">
      <c r="T1280" s="1"/>
    </row>
    <row r="1281" spans="20:20" x14ac:dyDescent="0.25">
      <c r="T1281" s="1"/>
    </row>
    <row r="1282" spans="20:20" x14ac:dyDescent="0.25">
      <c r="T1282" s="1"/>
    </row>
    <row r="1283" spans="20:20" x14ac:dyDescent="0.25">
      <c r="T1283" s="1"/>
    </row>
    <row r="1284" spans="20:20" x14ac:dyDescent="0.25">
      <c r="T1284" s="1"/>
    </row>
    <row r="1285" spans="20:20" x14ac:dyDescent="0.25">
      <c r="T1285" s="1"/>
    </row>
    <row r="1286" spans="20:20" x14ac:dyDescent="0.25">
      <c r="T1286" s="1"/>
    </row>
    <row r="1287" spans="20:20" x14ac:dyDescent="0.25">
      <c r="T1287" s="1"/>
    </row>
    <row r="1288" spans="20:20" x14ac:dyDescent="0.25">
      <c r="T1288" s="1"/>
    </row>
    <row r="1289" spans="20:20" x14ac:dyDescent="0.25">
      <c r="T1289" s="1"/>
    </row>
    <row r="1290" spans="20:20" x14ac:dyDescent="0.25">
      <c r="T1290" s="1"/>
    </row>
    <row r="1291" spans="20:20" x14ac:dyDescent="0.25">
      <c r="T1291" s="1"/>
    </row>
    <row r="1292" spans="20:20" x14ac:dyDescent="0.25">
      <c r="T1292" s="1"/>
    </row>
    <row r="1293" spans="20:20" x14ac:dyDescent="0.25">
      <c r="T1293" s="1"/>
    </row>
    <row r="1294" spans="20:20" x14ac:dyDescent="0.25">
      <c r="T1294" s="1"/>
    </row>
    <row r="1295" spans="20:20" x14ac:dyDescent="0.25">
      <c r="T1295" s="1"/>
    </row>
    <row r="1296" spans="20:20" x14ac:dyDescent="0.25">
      <c r="T1296" s="1"/>
    </row>
    <row r="1297" spans="20:20" x14ac:dyDescent="0.25">
      <c r="T1297" s="1"/>
    </row>
    <row r="1298" spans="20:20" x14ac:dyDescent="0.25">
      <c r="T1298" s="1"/>
    </row>
    <row r="1299" spans="20:20" x14ac:dyDescent="0.25">
      <c r="T1299" s="1"/>
    </row>
    <row r="1300" spans="20:20" x14ac:dyDescent="0.25">
      <c r="T1300" s="1"/>
    </row>
    <row r="1301" spans="20:20" x14ac:dyDescent="0.25">
      <c r="T1301" s="1"/>
    </row>
    <row r="1302" spans="20:20" x14ac:dyDescent="0.25">
      <c r="T1302" s="1"/>
    </row>
    <row r="1303" spans="20:20" x14ac:dyDescent="0.25">
      <c r="T1303" s="1"/>
    </row>
    <row r="1304" spans="20:20" x14ac:dyDescent="0.25">
      <c r="T1304" s="1"/>
    </row>
    <row r="1305" spans="20:20" x14ac:dyDescent="0.25">
      <c r="T1305" s="1"/>
    </row>
    <row r="1306" spans="20:20" x14ac:dyDescent="0.25">
      <c r="T1306" s="1"/>
    </row>
    <row r="1307" spans="20:20" x14ac:dyDescent="0.25">
      <c r="T1307" s="1"/>
    </row>
    <row r="1308" spans="20:20" x14ac:dyDescent="0.25">
      <c r="T1308" s="1"/>
    </row>
    <row r="1309" spans="20:20" x14ac:dyDescent="0.25">
      <c r="T1309" s="1"/>
    </row>
    <row r="1310" spans="20:20" x14ac:dyDescent="0.25">
      <c r="T1310" s="1"/>
    </row>
    <row r="1311" spans="20:20" x14ac:dyDescent="0.25">
      <c r="T1311" s="1"/>
    </row>
    <row r="1312" spans="20:20" x14ac:dyDescent="0.25">
      <c r="T1312" s="1"/>
    </row>
    <row r="1313" spans="20:20" x14ac:dyDescent="0.25">
      <c r="T1313" s="1"/>
    </row>
    <row r="1314" spans="20:20" x14ac:dyDescent="0.25">
      <c r="T1314" s="1"/>
    </row>
    <row r="1315" spans="20:20" x14ac:dyDescent="0.25">
      <c r="T1315" s="1"/>
    </row>
    <row r="1316" spans="20:20" x14ac:dyDescent="0.25">
      <c r="T1316" s="1"/>
    </row>
    <row r="1317" spans="20:20" x14ac:dyDescent="0.25">
      <c r="T1317" s="1"/>
    </row>
    <row r="1318" spans="20:20" x14ac:dyDescent="0.25">
      <c r="T1318" s="1"/>
    </row>
    <row r="1319" spans="20:20" x14ac:dyDescent="0.25">
      <c r="T1319" s="1"/>
    </row>
    <row r="1320" spans="20:20" x14ac:dyDescent="0.25">
      <c r="T1320" s="1"/>
    </row>
    <row r="1321" spans="20:20" x14ac:dyDescent="0.25">
      <c r="T1321" s="1"/>
    </row>
    <row r="1322" spans="20:20" x14ac:dyDescent="0.25">
      <c r="T1322" s="1"/>
    </row>
    <row r="1323" spans="20:20" x14ac:dyDescent="0.25">
      <c r="T1323" s="1"/>
    </row>
    <row r="1324" spans="20:20" x14ac:dyDescent="0.25">
      <c r="T1324" s="1"/>
    </row>
    <row r="1325" spans="20:20" x14ac:dyDescent="0.25">
      <c r="T1325" s="1"/>
    </row>
    <row r="1326" spans="20:20" x14ac:dyDescent="0.25">
      <c r="T1326" s="1"/>
    </row>
    <row r="1327" spans="20:20" x14ac:dyDescent="0.25">
      <c r="T1327" s="1"/>
    </row>
    <row r="1328" spans="20:20" x14ac:dyDescent="0.25">
      <c r="T1328" s="1"/>
    </row>
    <row r="1329" spans="20:20" x14ac:dyDescent="0.25">
      <c r="T1329" s="1"/>
    </row>
    <row r="1330" spans="20:20" x14ac:dyDescent="0.25">
      <c r="T1330" s="1"/>
    </row>
    <row r="1331" spans="20:20" x14ac:dyDescent="0.25">
      <c r="T1331" s="1"/>
    </row>
    <row r="1332" spans="20:20" x14ac:dyDescent="0.25">
      <c r="T1332" s="1"/>
    </row>
    <row r="1333" spans="20:20" x14ac:dyDescent="0.25">
      <c r="T1333" s="1"/>
    </row>
    <row r="1334" spans="20:20" x14ac:dyDescent="0.25">
      <c r="T1334" s="1"/>
    </row>
    <row r="1335" spans="20:20" x14ac:dyDescent="0.25">
      <c r="T1335" s="1"/>
    </row>
    <row r="1336" spans="20:20" x14ac:dyDescent="0.25">
      <c r="T1336" s="1"/>
    </row>
    <row r="1337" spans="20:20" x14ac:dyDescent="0.25">
      <c r="T1337" s="1"/>
    </row>
    <row r="1338" spans="20:20" x14ac:dyDescent="0.25">
      <c r="T1338" s="1"/>
    </row>
    <row r="1339" spans="20:20" x14ac:dyDescent="0.25">
      <c r="T1339" s="1"/>
    </row>
    <row r="1340" spans="20:20" x14ac:dyDescent="0.25">
      <c r="T1340" s="1"/>
    </row>
    <row r="1341" spans="20:20" x14ac:dyDescent="0.25">
      <c r="T1341" s="1"/>
    </row>
    <row r="1342" spans="20:20" x14ac:dyDescent="0.25">
      <c r="T1342" s="1"/>
    </row>
    <row r="1343" spans="20:20" x14ac:dyDescent="0.25">
      <c r="T1343" s="1"/>
    </row>
    <row r="1344" spans="20:20" x14ac:dyDescent="0.25">
      <c r="T1344" s="1"/>
    </row>
    <row r="1345" spans="20:20" x14ac:dyDescent="0.25">
      <c r="T1345" s="1"/>
    </row>
    <row r="1346" spans="20:20" x14ac:dyDescent="0.25">
      <c r="T1346" s="1"/>
    </row>
    <row r="1347" spans="20:20" x14ac:dyDescent="0.25">
      <c r="T1347" s="1"/>
    </row>
    <row r="1348" spans="20:20" x14ac:dyDescent="0.25">
      <c r="T1348" s="1"/>
    </row>
    <row r="1349" spans="20:20" x14ac:dyDescent="0.25">
      <c r="T1349" s="1"/>
    </row>
    <row r="1350" spans="20:20" x14ac:dyDescent="0.25">
      <c r="T1350" s="1"/>
    </row>
    <row r="1351" spans="20:20" x14ac:dyDescent="0.25">
      <c r="T1351" s="1"/>
    </row>
    <row r="1352" spans="20:20" x14ac:dyDescent="0.25">
      <c r="T1352" s="1"/>
    </row>
    <row r="1353" spans="20:20" x14ac:dyDescent="0.25">
      <c r="T1353" s="1"/>
    </row>
    <row r="1354" spans="20:20" x14ac:dyDescent="0.25">
      <c r="T1354" s="1"/>
    </row>
    <row r="1355" spans="20:20" x14ac:dyDescent="0.25">
      <c r="T1355" s="1"/>
    </row>
    <row r="1356" spans="20:20" x14ac:dyDescent="0.25">
      <c r="T1356" s="1"/>
    </row>
    <row r="1357" spans="20:20" x14ac:dyDescent="0.25">
      <c r="T1357" s="1"/>
    </row>
    <row r="1358" spans="20:20" x14ac:dyDescent="0.25">
      <c r="T1358" s="1"/>
    </row>
    <row r="1359" spans="20:20" x14ac:dyDescent="0.25">
      <c r="T1359" s="1"/>
    </row>
    <row r="1360" spans="20:20" x14ac:dyDescent="0.25">
      <c r="T1360" s="1"/>
    </row>
    <row r="1361" spans="20:20" x14ac:dyDescent="0.25">
      <c r="T1361" s="1"/>
    </row>
    <row r="1362" spans="20:20" x14ac:dyDescent="0.25">
      <c r="T1362" s="1"/>
    </row>
    <row r="1363" spans="20:20" x14ac:dyDescent="0.25">
      <c r="T1363" s="1"/>
    </row>
    <row r="1364" spans="20:20" x14ac:dyDescent="0.25">
      <c r="T1364" s="1"/>
    </row>
    <row r="1365" spans="20:20" x14ac:dyDescent="0.25">
      <c r="T1365" s="1"/>
    </row>
    <row r="1366" spans="20:20" x14ac:dyDescent="0.25">
      <c r="T1366" s="1"/>
    </row>
    <row r="1367" spans="20:20" x14ac:dyDescent="0.25">
      <c r="T1367" s="1"/>
    </row>
    <row r="1368" spans="20:20" x14ac:dyDescent="0.25">
      <c r="T1368" s="1"/>
    </row>
    <row r="1369" spans="20:20" x14ac:dyDescent="0.25">
      <c r="T1369" s="1"/>
    </row>
    <row r="1370" spans="20:20" x14ac:dyDescent="0.25">
      <c r="T1370" s="1"/>
    </row>
    <row r="1371" spans="20:20" x14ac:dyDescent="0.25">
      <c r="T1371" s="1"/>
    </row>
    <row r="1372" spans="20:20" x14ac:dyDescent="0.25">
      <c r="T1372" s="1"/>
    </row>
    <row r="1373" spans="20:20" x14ac:dyDescent="0.25">
      <c r="T1373" s="1"/>
    </row>
    <row r="1374" spans="20:20" x14ac:dyDescent="0.25">
      <c r="T1374" s="1"/>
    </row>
    <row r="1375" spans="20:20" x14ac:dyDescent="0.25">
      <c r="T1375" s="1"/>
    </row>
    <row r="1376" spans="20:20" x14ac:dyDescent="0.25">
      <c r="T1376" s="1"/>
    </row>
    <row r="1377" spans="20:20" x14ac:dyDescent="0.25">
      <c r="T1377" s="1"/>
    </row>
    <row r="1378" spans="20:20" x14ac:dyDescent="0.25">
      <c r="T1378" s="1"/>
    </row>
    <row r="1379" spans="20:20" x14ac:dyDescent="0.25">
      <c r="T1379" s="1"/>
    </row>
    <row r="1380" spans="20:20" x14ac:dyDescent="0.25">
      <c r="T1380" s="1"/>
    </row>
    <row r="1381" spans="20:20" x14ac:dyDescent="0.25">
      <c r="T1381" s="1"/>
    </row>
    <row r="1382" spans="20:20" x14ac:dyDescent="0.25">
      <c r="T1382" s="1"/>
    </row>
    <row r="1383" spans="20:20" x14ac:dyDescent="0.25">
      <c r="T1383" s="1"/>
    </row>
    <row r="1384" spans="20:20" x14ac:dyDescent="0.25">
      <c r="T1384" s="1"/>
    </row>
    <row r="1385" spans="20:20" x14ac:dyDescent="0.25">
      <c r="T1385" s="1"/>
    </row>
    <row r="1386" spans="20:20" x14ac:dyDescent="0.25">
      <c r="T1386" s="1"/>
    </row>
    <row r="1387" spans="20:20" x14ac:dyDescent="0.25">
      <c r="T1387" s="1"/>
    </row>
    <row r="1388" spans="20:20" x14ac:dyDescent="0.25">
      <c r="T1388" s="1"/>
    </row>
    <row r="1389" spans="20:20" x14ac:dyDescent="0.25">
      <c r="T1389" s="1"/>
    </row>
    <row r="1390" spans="20:20" x14ac:dyDescent="0.25">
      <c r="T1390" s="1"/>
    </row>
    <row r="1391" spans="20:20" x14ac:dyDescent="0.25">
      <c r="T1391" s="1"/>
    </row>
    <row r="1392" spans="20:20" x14ac:dyDescent="0.25">
      <c r="T1392" s="1"/>
    </row>
    <row r="1393" spans="20:20" x14ac:dyDescent="0.25">
      <c r="T1393" s="1"/>
    </row>
    <row r="1394" spans="20:20" x14ac:dyDescent="0.25">
      <c r="T1394" s="1"/>
    </row>
    <row r="1395" spans="20:20" x14ac:dyDescent="0.25">
      <c r="T1395" s="1"/>
    </row>
    <row r="1396" spans="20:20" x14ac:dyDescent="0.25">
      <c r="T1396" s="1"/>
    </row>
    <row r="1397" spans="20:20" x14ac:dyDescent="0.25">
      <c r="T1397" s="1"/>
    </row>
    <row r="1398" spans="20:20" x14ac:dyDescent="0.25">
      <c r="T1398" s="1"/>
    </row>
    <row r="1399" spans="20:20" x14ac:dyDescent="0.25">
      <c r="T1399" s="1"/>
    </row>
    <row r="1400" spans="20:20" x14ac:dyDescent="0.25">
      <c r="T1400" s="1"/>
    </row>
    <row r="1401" spans="20:20" x14ac:dyDescent="0.25">
      <c r="T1401" s="1"/>
    </row>
    <row r="1402" spans="20:20" x14ac:dyDescent="0.25">
      <c r="T1402" s="1"/>
    </row>
    <row r="1403" spans="20:20" x14ac:dyDescent="0.25">
      <c r="T1403" s="1"/>
    </row>
    <row r="1404" spans="20:20" x14ac:dyDescent="0.25">
      <c r="T1404" s="1"/>
    </row>
    <row r="1405" spans="20:20" x14ac:dyDescent="0.25">
      <c r="T1405" s="1"/>
    </row>
    <row r="1406" spans="20:20" x14ac:dyDescent="0.25">
      <c r="T1406" s="1"/>
    </row>
    <row r="1407" spans="20:20" x14ac:dyDescent="0.25">
      <c r="T1407" s="1"/>
    </row>
    <row r="1408" spans="20:20" x14ac:dyDescent="0.25">
      <c r="T1408" s="1"/>
    </row>
    <row r="1409" spans="20:20" x14ac:dyDescent="0.25">
      <c r="T1409" s="1"/>
    </row>
    <row r="1410" spans="20:20" x14ac:dyDescent="0.25">
      <c r="T1410" s="1"/>
    </row>
    <row r="1411" spans="20:20" x14ac:dyDescent="0.25">
      <c r="T1411" s="1"/>
    </row>
    <row r="1412" spans="20:20" x14ac:dyDescent="0.25">
      <c r="T1412" s="1"/>
    </row>
    <row r="1413" spans="20:20" x14ac:dyDescent="0.25">
      <c r="T1413" s="1"/>
    </row>
    <row r="1414" spans="20:20" x14ac:dyDescent="0.25">
      <c r="T1414" s="1"/>
    </row>
    <row r="1415" spans="20:20" x14ac:dyDescent="0.25">
      <c r="T1415" s="1"/>
    </row>
    <row r="1416" spans="20:20" x14ac:dyDescent="0.25">
      <c r="T1416" s="1"/>
    </row>
    <row r="1417" spans="20:20" x14ac:dyDescent="0.25">
      <c r="T1417" s="1"/>
    </row>
    <row r="1418" spans="20:20" x14ac:dyDescent="0.25">
      <c r="T1418" s="1"/>
    </row>
    <row r="1419" spans="20:20" x14ac:dyDescent="0.25">
      <c r="T1419" s="1"/>
    </row>
    <row r="1420" spans="20:20" x14ac:dyDescent="0.25">
      <c r="T1420" s="1"/>
    </row>
    <row r="1421" spans="20:20" x14ac:dyDescent="0.25">
      <c r="T1421" s="1"/>
    </row>
    <row r="1422" spans="20:20" x14ac:dyDescent="0.25">
      <c r="T1422" s="1"/>
    </row>
    <row r="1423" spans="20:20" x14ac:dyDescent="0.25">
      <c r="T1423" s="1"/>
    </row>
    <row r="1424" spans="20:20" x14ac:dyDescent="0.25">
      <c r="T1424" s="1"/>
    </row>
    <row r="1425" spans="20:20" x14ac:dyDescent="0.25">
      <c r="T1425" s="1"/>
    </row>
    <row r="1426" spans="20:20" x14ac:dyDescent="0.25">
      <c r="T1426" s="1"/>
    </row>
    <row r="1427" spans="20:20" x14ac:dyDescent="0.25">
      <c r="T1427" s="1"/>
    </row>
    <row r="1428" spans="20:20" x14ac:dyDescent="0.25">
      <c r="T1428" s="1"/>
    </row>
    <row r="1429" spans="20:20" x14ac:dyDescent="0.25">
      <c r="T1429" s="1"/>
    </row>
    <row r="1430" spans="20:20" x14ac:dyDescent="0.25">
      <c r="T1430" s="1"/>
    </row>
    <row r="1431" spans="20:20" x14ac:dyDescent="0.25">
      <c r="T1431" s="1"/>
    </row>
    <row r="1432" spans="20:20" x14ac:dyDescent="0.25">
      <c r="T1432" s="1"/>
    </row>
    <row r="1433" spans="20:20" x14ac:dyDescent="0.25">
      <c r="T1433" s="1"/>
    </row>
    <row r="1434" spans="20:20" x14ac:dyDescent="0.25">
      <c r="T1434" s="1"/>
    </row>
    <row r="1435" spans="20:20" x14ac:dyDescent="0.25">
      <c r="T1435" s="1"/>
    </row>
    <row r="1436" spans="20:20" x14ac:dyDescent="0.25">
      <c r="T1436" s="1"/>
    </row>
    <row r="1437" spans="20:20" x14ac:dyDescent="0.25">
      <c r="T1437" s="1"/>
    </row>
    <row r="1438" spans="20:20" x14ac:dyDescent="0.25">
      <c r="T1438" s="1"/>
    </row>
    <row r="1439" spans="20:20" x14ac:dyDescent="0.25">
      <c r="T1439" s="1"/>
    </row>
    <row r="1440" spans="20:20" x14ac:dyDescent="0.25">
      <c r="T1440" s="1"/>
    </row>
    <row r="1441" spans="20:20" x14ac:dyDescent="0.25">
      <c r="T1441" s="1"/>
    </row>
    <row r="1442" spans="20:20" x14ac:dyDescent="0.25">
      <c r="T1442" s="1"/>
    </row>
    <row r="1443" spans="20:20" x14ac:dyDescent="0.25">
      <c r="T1443" s="1"/>
    </row>
    <row r="1444" spans="20:20" x14ac:dyDescent="0.25">
      <c r="T1444" s="1"/>
    </row>
    <row r="1445" spans="20:20" x14ac:dyDescent="0.25">
      <c r="T1445" s="1"/>
    </row>
    <row r="1446" spans="20:20" x14ac:dyDescent="0.25">
      <c r="T1446" s="1"/>
    </row>
    <row r="1447" spans="20:20" x14ac:dyDescent="0.25">
      <c r="T1447" s="1"/>
    </row>
    <row r="1448" spans="20:20" x14ac:dyDescent="0.25">
      <c r="T1448" s="1"/>
    </row>
    <row r="1449" spans="20:20" x14ac:dyDescent="0.25">
      <c r="T1449" s="1"/>
    </row>
    <row r="1450" spans="20:20" x14ac:dyDescent="0.25">
      <c r="T1450" s="1"/>
    </row>
    <row r="1451" spans="20:20" x14ac:dyDescent="0.25">
      <c r="T1451" s="1"/>
    </row>
    <row r="1452" spans="20:20" x14ac:dyDescent="0.25">
      <c r="T1452" s="1"/>
    </row>
    <row r="1453" spans="20:20" x14ac:dyDescent="0.25">
      <c r="T1453" s="1"/>
    </row>
    <row r="1454" spans="20:20" x14ac:dyDescent="0.25">
      <c r="T1454" s="1"/>
    </row>
    <row r="1455" spans="20:20" x14ac:dyDescent="0.25">
      <c r="T1455" s="1"/>
    </row>
    <row r="1456" spans="20:20" x14ac:dyDescent="0.25">
      <c r="T1456" s="1"/>
    </row>
    <row r="1457" spans="20:20" x14ac:dyDescent="0.25">
      <c r="T1457" s="1"/>
    </row>
    <row r="1458" spans="20:20" x14ac:dyDescent="0.25">
      <c r="T1458" s="1"/>
    </row>
    <row r="1459" spans="20:20" x14ac:dyDescent="0.25">
      <c r="T1459" s="1"/>
    </row>
    <row r="1460" spans="20:20" x14ac:dyDescent="0.25">
      <c r="T1460" s="1"/>
    </row>
    <row r="1461" spans="20:20" x14ac:dyDescent="0.25">
      <c r="T1461" s="1"/>
    </row>
    <row r="1462" spans="20:20" x14ac:dyDescent="0.25">
      <c r="T1462" s="1"/>
    </row>
    <row r="1463" spans="20:20" x14ac:dyDescent="0.25">
      <c r="T1463" s="1"/>
    </row>
    <row r="1464" spans="20:20" x14ac:dyDescent="0.25">
      <c r="T1464" s="1"/>
    </row>
    <row r="1465" spans="20:20" x14ac:dyDescent="0.25">
      <c r="T1465" s="1"/>
    </row>
    <row r="1466" spans="20:20" x14ac:dyDescent="0.25">
      <c r="T1466" s="1"/>
    </row>
    <row r="1467" spans="20:20" x14ac:dyDescent="0.25">
      <c r="T1467" s="1"/>
    </row>
    <row r="1468" spans="20:20" x14ac:dyDescent="0.25">
      <c r="T1468" s="1"/>
    </row>
    <row r="1469" spans="20:20" x14ac:dyDescent="0.25">
      <c r="T1469" s="1"/>
    </row>
    <row r="1470" spans="20:20" x14ac:dyDescent="0.25">
      <c r="T1470" s="1"/>
    </row>
    <row r="1471" spans="20:20" x14ac:dyDescent="0.25">
      <c r="T1471" s="1"/>
    </row>
    <row r="1472" spans="20:20" x14ac:dyDescent="0.25">
      <c r="T1472" s="1"/>
    </row>
    <row r="1473" spans="20:20" x14ac:dyDescent="0.25">
      <c r="T1473" s="1"/>
    </row>
    <row r="1474" spans="20:20" x14ac:dyDescent="0.25">
      <c r="T1474" s="1"/>
    </row>
    <row r="1475" spans="20:20" x14ac:dyDescent="0.25">
      <c r="T1475" s="1"/>
    </row>
    <row r="1476" spans="20:20" x14ac:dyDescent="0.25">
      <c r="T1476" s="1"/>
    </row>
    <row r="1477" spans="20:20" x14ac:dyDescent="0.25">
      <c r="T1477" s="1"/>
    </row>
    <row r="1478" spans="20:20" x14ac:dyDescent="0.25">
      <c r="T1478" s="1"/>
    </row>
    <row r="1479" spans="20:20" x14ac:dyDescent="0.25">
      <c r="T1479" s="1"/>
    </row>
    <row r="1480" spans="20:20" x14ac:dyDescent="0.25">
      <c r="T1480" s="1"/>
    </row>
    <row r="1481" spans="20:20" x14ac:dyDescent="0.25">
      <c r="T1481" s="1"/>
    </row>
    <row r="1482" spans="20:20" x14ac:dyDescent="0.25">
      <c r="T1482" s="1"/>
    </row>
    <row r="1483" spans="20:20" x14ac:dyDescent="0.25">
      <c r="T1483" s="1"/>
    </row>
    <row r="1484" spans="20:20" x14ac:dyDescent="0.25">
      <c r="T1484" s="1"/>
    </row>
    <row r="1485" spans="20:20" x14ac:dyDescent="0.25">
      <c r="T1485" s="1"/>
    </row>
    <row r="1486" spans="20:20" x14ac:dyDescent="0.25">
      <c r="T1486" s="1"/>
    </row>
    <row r="1487" spans="20:20" x14ac:dyDescent="0.25">
      <c r="T1487" s="1"/>
    </row>
    <row r="1488" spans="20:20" x14ac:dyDescent="0.25">
      <c r="T1488" s="1"/>
    </row>
    <row r="1489" spans="20:20" x14ac:dyDescent="0.25">
      <c r="T1489" s="1"/>
    </row>
    <row r="1490" spans="20:20" x14ac:dyDescent="0.25">
      <c r="T1490" s="1"/>
    </row>
    <row r="1491" spans="20:20" x14ac:dyDescent="0.25">
      <c r="T1491" s="1"/>
    </row>
    <row r="1492" spans="20:20" x14ac:dyDescent="0.25">
      <c r="T1492" s="1"/>
    </row>
    <row r="1493" spans="20:20" x14ac:dyDescent="0.25">
      <c r="T1493" s="1"/>
    </row>
    <row r="1494" spans="20:20" x14ac:dyDescent="0.25">
      <c r="T1494" s="1"/>
    </row>
    <row r="1495" spans="20:20" x14ac:dyDescent="0.25">
      <c r="T1495" s="1"/>
    </row>
    <row r="1496" spans="20:20" x14ac:dyDescent="0.25">
      <c r="T1496" s="1"/>
    </row>
    <row r="1497" spans="20:20" x14ac:dyDescent="0.25">
      <c r="T1497" s="1"/>
    </row>
    <row r="1498" spans="20:20" x14ac:dyDescent="0.25">
      <c r="T1498" s="1"/>
    </row>
    <row r="1499" spans="20:20" x14ac:dyDescent="0.25">
      <c r="T1499" s="1"/>
    </row>
    <row r="1500" spans="20:20" x14ac:dyDescent="0.25">
      <c r="T1500" s="1"/>
    </row>
    <row r="1501" spans="20:20" x14ac:dyDescent="0.25">
      <c r="T1501" s="1"/>
    </row>
    <row r="1502" spans="20:20" x14ac:dyDescent="0.25">
      <c r="T1502" s="1"/>
    </row>
    <row r="1503" spans="20:20" x14ac:dyDescent="0.25">
      <c r="T1503" s="1"/>
    </row>
    <row r="1504" spans="20:20" x14ac:dyDescent="0.25">
      <c r="T1504" s="1"/>
    </row>
    <row r="1505" spans="20:20" x14ac:dyDescent="0.25">
      <c r="T1505" s="1"/>
    </row>
    <row r="1506" spans="20:20" x14ac:dyDescent="0.25">
      <c r="T1506" s="1"/>
    </row>
    <row r="1507" spans="20:20" x14ac:dyDescent="0.25">
      <c r="T1507" s="1"/>
    </row>
    <row r="1508" spans="20:20" x14ac:dyDescent="0.25">
      <c r="T1508" s="1"/>
    </row>
    <row r="1509" spans="20:20" x14ac:dyDescent="0.25">
      <c r="T1509" s="1"/>
    </row>
    <row r="1510" spans="20:20" x14ac:dyDescent="0.25">
      <c r="T1510" s="1"/>
    </row>
    <row r="1511" spans="20:20" x14ac:dyDescent="0.25">
      <c r="T1511" s="1"/>
    </row>
    <row r="1512" spans="20:20" x14ac:dyDescent="0.25">
      <c r="T1512" s="1"/>
    </row>
    <row r="1513" spans="20:20" x14ac:dyDescent="0.25">
      <c r="T1513" s="1"/>
    </row>
    <row r="1514" spans="20:20" x14ac:dyDescent="0.25">
      <c r="T1514" s="1"/>
    </row>
    <row r="1515" spans="20:20" x14ac:dyDescent="0.25">
      <c r="T1515" s="1"/>
    </row>
    <row r="1516" spans="20:20" x14ac:dyDescent="0.25">
      <c r="T1516" s="1"/>
    </row>
    <row r="1517" spans="20:20" x14ac:dyDescent="0.25">
      <c r="T1517" s="1"/>
    </row>
    <row r="1518" spans="20:20" x14ac:dyDescent="0.25">
      <c r="T1518" s="1"/>
    </row>
    <row r="1519" spans="20:20" x14ac:dyDescent="0.25">
      <c r="T1519" s="1"/>
    </row>
    <row r="1520" spans="20:20" x14ac:dyDescent="0.25">
      <c r="T1520" s="1"/>
    </row>
    <row r="1521" spans="20:20" x14ac:dyDescent="0.25">
      <c r="T1521" s="1"/>
    </row>
    <row r="1522" spans="20:20" x14ac:dyDescent="0.25">
      <c r="T1522" s="1"/>
    </row>
    <row r="1523" spans="20:20" x14ac:dyDescent="0.25">
      <c r="T1523" s="1"/>
    </row>
    <row r="1524" spans="20:20" x14ac:dyDescent="0.25">
      <c r="T1524" s="1"/>
    </row>
    <row r="1525" spans="20:20" x14ac:dyDescent="0.25">
      <c r="T1525" s="1"/>
    </row>
    <row r="1526" spans="20:20" x14ac:dyDescent="0.25">
      <c r="T1526" s="1"/>
    </row>
    <row r="1527" spans="20:20" x14ac:dyDescent="0.25">
      <c r="T1527" s="1"/>
    </row>
    <row r="1528" spans="20:20" x14ac:dyDescent="0.25">
      <c r="T1528" s="1"/>
    </row>
    <row r="1529" spans="20:20" x14ac:dyDescent="0.25">
      <c r="T1529" s="1"/>
    </row>
    <row r="1530" spans="20:20" x14ac:dyDescent="0.25">
      <c r="T1530" s="1"/>
    </row>
    <row r="1531" spans="20:20" x14ac:dyDescent="0.25">
      <c r="T1531" s="1"/>
    </row>
    <row r="1532" spans="20:20" x14ac:dyDescent="0.25">
      <c r="T1532" s="1"/>
    </row>
    <row r="1533" spans="20:20" x14ac:dyDescent="0.25">
      <c r="T1533" s="1"/>
    </row>
    <row r="1534" spans="20:20" x14ac:dyDescent="0.25">
      <c r="T1534" s="1"/>
    </row>
    <row r="1535" spans="20:20" x14ac:dyDescent="0.25">
      <c r="T1535" s="1"/>
    </row>
    <row r="1536" spans="20:20" x14ac:dyDescent="0.25">
      <c r="T1536" s="1"/>
    </row>
    <row r="1537" spans="20:20" x14ac:dyDescent="0.25">
      <c r="T1537" s="1"/>
    </row>
    <row r="1538" spans="20:20" x14ac:dyDescent="0.25">
      <c r="T1538" s="1"/>
    </row>
    <row r="1539" spans="20:20" x14ac:dyDescent="0.25">
      <c r="T1539" s="1"/>
    </row>
    <row r="1540" spans="20:20" x14ac:dyDescent="0.25">
      <c r="T1540" s="1"/>
    </row>
    <row r="1541" spans="20:20" x14ac:dyDescent="0.25">
      <c r="T1541" s="1"/>
    </row>
    <row r="1542" spans="20:20" x14ac:dyDescent="0.25">
      <c r="T1542" s="1"/>
    </row>
    <row r="1543" spans="20:20" x14ac:dyDescent="0.25">
      <c r="T1543" s="1"/>
    </row>
    <row r="1544" spans="20:20" x14ac:dyDescent="0.25">
      <c r="T1544" s="1"/>
    </row>
    <row r="1545" spans="20:20" x14ac:dyDescent="0.25">
      <c r="T1545" s="1"/>
    </row>
    <row r="1546" spans="20:20" x14ac:dyDescent="0.25">
      <c r="T1546" s="1"/>
    </row>
    <row r="1547" spans="20:20" x14ac:dyDescent="0.25">
      <c r="T1547" s="1"/>
    </row>
    <row r="1548" spans="20:20" x14ac:dyDescent="0.25">
      <c r="T1548" s="1"/>
    </row>
    <row r="1549" spans="20:20" x14ac:dyDescent="0.25">
      <c r="T1549" s="1"/>
    </row>
    <row r="1550" spans="20:20" x14ac:dyDescent="0.25">
      <c r="T1550" s="1"/>
    </row>
    <row r="1551" spans="20:20" x14ac:dyDescent="0.25">
      <c r="T1551" s="1"/>
    </row>
    <row r="1552" spans="20:20" x14ac:dyDescent="0.25">
      <c r="T1552" s="1"/>
    </row>
    <row r="1553" spans="20:20" x14ac:dyDescent="0.25">
      <c r="T1553" s="1"/>
    </row>
    <row r="1554" spans="20:20" x14ac:dyDescent="0.25">
      <c r="T1554" s="1"/>
    </row>
    <row r="1555" spans="20:20" x14ac:dyDescent="0.25">
      <c r="T1555" s="1"/>
    </row>
    <row r="1556" spans="20:20" x14ac:dyDescent="0.25">
      <c r="T1556" s="1"/>
    </row>
    <row r="1557" spans="20:20" x14ac:dyDescent="0.25">
      <c r="T1557" s="1"/>
    </row>
    <row r="1558" spans="20:20" x14ac:dyDescent="0.25">
      <c r="T1558" s="1"/>
    </row>
    <row r="1559" spans="20:20" x14ac:dyDescent="0.25">
      <c r="T1559" s="1"/>
    </row>
    <row r="1560" spans="20:20" x14ac:dyDescent="0.25">
      <c r="T1560" s="1"/>
    </row>
    <row r="1561" spans="20:20" x14ac:dyDescent="0.25">
      <c r="T1561" s="1"/>
    </row>
    <row r="1562" spans="20:20" x14ac:dyDescent="0.25">
      <c r="T1562" s="1"/>
    </row>
    <row r="1563" spans="20:20" x14ac:dyDescent="0.25">
      <c r="T1563" s="1"/>
    </row>
    <row r="1564" spans="20:20" x14ac:dyDescent="0.25">
      <c r="T1564" s="1"/>
    </row>
    <row r="1565" spans="20:20" x14ac:dyDescent="0.25">
      <c r="T1565" s="1"/>
    </row>
    <row r="1566" spans="20:20" x14ac:dyDescent="0.25">
      <c r="T1566" s="1"/>
    </row>
    <row r="1567" spans="20:20" x14ac:dyDescent="0.25">
      <c r="T1567" s="1"/>
    </row>
    <row r="1568" spans="20:20" x14ac:dyDescent="0.25">
      <c r="T1568" s="1"/>
    </row>
    <row r="1569" spans="20:20" x14ac:dyDescent="0.25">
      <c r="T1569" s="1"/>
    </row>
    <row r="1570" spans="20:20" x14ac:dyDescent="0.25">
      <c r="T1570" s="1"/>
    </row>
    <row r="1571" spans="20:20" x14ac:dyDescent="0.25">
      <c r="T1571" s="1"/>
    </row>
    <row r="1572" spans="20:20" x14ac:dyDescent="0.25">
      <c r="T1572" s="1"/>
    </row>
    <row r="1573" spans="20:20" x14ac:dyDescent="0.25">
      <c r="T1573" s="1"/>
    </row>
    <row r="1574" spans="20:20" x14ac:dyDescent="0.25">
      <c r="T1574" s="1"/>
    </row>
    <row r="1575" spans="20:20" x14ac:dyDescent="0.25">
      <c r="T1575" s="1"/>
    </row>
    <row r="1576" spans="20:20" x14ac:dyDescent="0.25">
      <c r="T1576" s="1"/>
    </row>
    <row r="1577" spans="20:20" x14ac:dyDescent="0.25">
      <c r="T1577" s="1"/>
    </row>
    <row r="1578" spans="20:20" x14ac:dyDescent="0.25">
      <c r="T1578" s="1"/>
    </row>
    <row r="1579" spans="20:20" x14ac:dyDescent="0.25">
      <c r="T1579" s="1"/>
    </row>
    <row r="1580" spans="20:20" x14ac:dyDescent="0.25">
      <c r="T1580" s="1"/>
    </row>
    <row r="1581" spans="20:20" x14ac:dyDescent="0.25">
      <c r="T1581" s="1"/>
    </row>
    <row r="1582" spans="20:20" x14ac:dyDescent="0.25">
      <c r="T1582" s="1"/>
    </row>
    <row r="1583" spans="20:20" x14ac:dyDescent="0.25">
      <c r="T1583" s="1"/>
    </row>
    <row r="1584" spans="20:20" x14ac:dyDescent="0.25">
      <c r="T1584" s="1"/>
    </row>
    <row r="1585" spans="20:20" x14ac:dyDescent="0.25">
      <c r="T1585" s="1"/>
    </row>
    <row r="1586" spans="20:20" x14ac:dyDescent="0.25">
      <c r="T1586" s="1"/>
    </row>
    <row r="1587" spans="20:20" x14ac:dyDescent="0.25">
      <c r="T1587" s="1"/>
    </row>
    <row r="1588" spans="20:20" x14ac:dyDescent="0.25">
      <c r="T1588" s="1"/>
    </row>
    <row r="1589" spans="20:20" x14ac:dyDescent="0.25">
      <c r="T1589" s="1"/>
    </row>
    <row r="1590" spans="20:20" x14ac:dyDescent="0.25">
      <c r="T1590" s="1"/>
    </row>
    <row r="1591" spans="20:20" x14ac:dyDescent="0.25">
      <c r="T1591" s="1"/>
    </row>
    <row r="1592" spans="20:20" x14ac:dyDescent="0.25">
      <c r="T1592" s="1"/>
    </row>
    <row r="1593" spans="20:20" x14ac:dyDescent="0.25">
      <c r="T1593" s="1"/>
    </row>
    <row r="1594" spans="20:20" x14ac:dyDescent="0.25">
      <c r="T1594" s="1"/>
    </row>
    <row r="1595" spans="20:20" x14ac:dyDescent="0.25">
      <c r="T1595" s="1"/>
    </row>
    <row r="1596" spans="20:20" x14ac:dyDescent="0.25">
      <c r="T1596" s="1"/>
    </row>
    <row r="1597" spans="20:20" x14ac:dyDescent="0.25">
      <c r="T1597" s="1"/>
    </row>
    <row r="1598" spans="20:20" x14ac:dyDescent="0.25">
      <c r="T1598" s="1"/>
    </row>
    <row r="1599" spans="20:20" x14ac:dyDescent="0.25">
      <c r="T1599" s="1"/>
    </row>
    <row r="1600" spans="20:20" x14ac:dyDescent="0.25">
      <c r="T1600" s="1"/>
    </row>
    <row r="1601" spans="20:20" x14ac:dyDescent="0.25">
      <c r="T1601" s="1"/>
    </row>
    <row r="1602" spans="20:20" x14ac:dyDescent="0.25">
      <c r="T1602" s="1"/>
    </row>
    <row r="1603" spans="20:20" x14ac:dyDescent="0.25">
      <c r="T1603" s="1"/>
    </row>
    <row r="1604" spans="20:20" x14ac:dyDescent="0.25">
      <c r="T1604" s="1"/>
    </row>
    <row r="1605" spans="20:20" x14ac:dyDescent="0.25">
      <c r="T1605" s="1"/>
    </row>
    <row r="1606" spans="20:20" x14ac:dyDescent="0.25">
      <c r="T1606" s="1"/>
    </row>
    <row r="1607" spans="20:20" x14ac:dyDescent="0.25">
      <c r="T1607" s="1"/>
    </row>
    <row r="1608" spans="20:20" x14ac:dyDescent="0.25">
      <c r="T1608" s="1"/>
    </row>
    <row r="1609" spans="20:20" x14ac:dyDescent="0.25">
      <c r="T1609" s="1"/>
    </row>
    <row r="1610" spans="20:20" x14ac:dyDescent="0.25">
      <c r="T1610" s="1"/>
    </row>
    <row r="1611" spans="20:20" x14ac:dyDescent="0.25">
      <c r="T1611" s="1"/>
    </row>
    <row r="1612" spans="20:20" x14ac:dyDescent="0.25">
      <c r="T1612" s="1"/>
    </row>
    <row r="1613" spans="20:20" x14ac:dyDescent="0.25">
      <c r="T1613" s="1"/>
    </row>
    <row r="1614" spans="20:20" x14ac:dyDescent="0.25">
      <c r="T1614" s="1"/>
    </row>
    <row r="1615" spans="20:20" x14ac:dyDescent="0.25">
      <c r="T1615" s="1"/>
    </row>
    <row r="1616" spans="20:20" x14ac:dyDescent="0.25">
      <c r="T1616" s="1"/>
    </row>
    <row r="1617" spans="20:20" x14ac:dyDescent="0.25">
      <c r="T1617" s="1"/>
    </row>
    <row r="1618" spans="20:20" x14ac:dyDescent="0.25">
      <c r="T1618" s="1"/>
    </row>
    <row r="1619" spans="20:20" x14ac:dyDescent="0.25">
      <c r="T1619" s="1"/>
    </row>
    <row r="1620" spans="20:20" x14ac:dyDescent="0.25">
      <c r="T1620" s="1"/>
    </row>
    <row r="1621" spans="20:20" x14ac:dyDescent="0.25">
      <c r="T1621" s="1"/>
    </row>
    <row r="1622" spans="20:20" x14ac:dyDescent="0.25">
      <c r="T1622" s="1"/>
    </row>
    <row r="1623" spans="20:20" x14ac:dyDescent="0.25">
      <c r="T1623" s="1"/>
    </row>
    <row r="1624" spans="20:20" x14ac:dyDescent="0.25">
      <c r="T1624" s="1"/>
    </row>
    <row r="1625" spans="20:20" x14ac:dyDescent="0.25">
      <c r="T1625" s="1"/>
    </row>
    <row r="1626" spans="20:20" x14ac:dyDescent="0.25">
      <c r="T1626" s="1"/>
    </row>
    <row r="1627" spans="20:20" x14ac:dyDescent="0.25">
      <c r="T1627" s="1"/>
    </row>
    <row r="1628" spans="20:20" x14ac:dyDescent="0.25">
      <c r="T1628" s="1"/>
    </row>
    <row r="1629" spans="20:20" x14ac:dyDescent="0.25">
      <c r="T1629" s="1"/>
    </row>
    <row r="1630" spans="20:20" x14ac:dyDescent="0.25">
      <c r="T1630" s="1"/>
    </row>
    <row r="1631" spans="20:20" x14ac:dyDescent="0.25">
      <c r="T1631" s="1"/>
    </row>
    <row r="1632" spans="20:20" x14ac:dyDescent="0.25">
      <c r="T1632" s="1"/>
    </row>
    <row r="1633" spans="20:20" x14ac:dyDescent="0.25">
      <c r="T1633" s="1"/>
    </row>
    <row r="1634" spans="20:20" x14ac:dyDescent="0.25">
      <c r="T1634" s="1"/>
    </row>
    <row r="1635" spans="20:20" x14ac:dyDescent="0.25">
      <c r="T1635" s="1"/>
    </row>
    <row r="1636" spans="20:20" x14ac:dyDescent="0.25">
      <c r="T1636" s="1"/>
    </row>
    <row r="1637" spans="20:20" x14ac:dyDescent="0.25">
      <c r="T1637" s="1"/>
    </row>
    <row r="1638" spans="20:20" x14ac:dyDescent="0.25">
      <c r="T1638" s="1"/>
    </row>
    <row r="1639" spans="20:20" x14ac:dyDescent="0.25">
      <c r="T1639" s="1"/>
    </row>
    <row r="1640" spans="20:20" x14ac:dyDescent="0.25">
      <c r="T1640" s="1"/>
    </row>
    <row r="1641" spans="20:20" x14ac:dyDescent="0.25">
      <c r="T1641" s="1"/>
    </row>
    <row r="1642" spans="20:20" x14ac:dyDescent="0.25">
      <c r="T1642" s="1"/>
    </row>
    <row r="1643" spans="20:20" x14ac:dyDescent="0.25">
      <c r="T1643" s="1"/>
    </row>
    <row r="1644" spans="20:20" x14ac:dyDescent="0.25">
      <c r="T1644" s="1"/>
    </row>
    <row r="1645" spans="20:20" x14ac:dyDescent="0.25">
      <c r="T1645" s="1"/>
    </row>
    <row r="1646" spans="20:20" x14ac:dyDescent="0.25">
      <c r="T1646" s="1"/>
    </row>
    <row r="1647" spans="20:20" x14ac:dyDescent="0.25">
      <c r="T1647" s="1"/>
    </row>
    <row r="1648" spans="20:20" x14ac:dyDescent="0.25">
      <c r="T1648" s="1"/>
    </row>
    <row r="1649" spans="20:20" x14ac:dyDescent="0.25">
      <c r="T1649" s="1"/>
    </row>
    <row r="1650" spans="20:20" x14ac:dyDescent="0.25">
      <c r="T1650" s="1"/>
    </row>
    <row r="1651" spans="20:20" x14ac:dyDescent="0.25">
      <c r="T1651" s="1"/>
    </row>
    <row r="1652" spans="20:20" x14ac:dyDescent="0.25">
      <c r="T1652" s="1"/>
    </row>
    <row r="1653" spans="20:20" x14ac:dyDescent="0.25">
      <c r="T1653" s="1"/>
    </row>
    <row r="1654" spans="20:20" x14ac:dyDescent="0.25">
      <c r="T1654" s="1"/>
    </row>
    <row r="1655" spans="20:20" x14ac:dyDescent="0.25">
      <c r="T1655" s="1"/>
    </row>
    <row r="1656" spans="20:20" x14ac:dyDescent="0.25">
      <c r="T1656" s="1"/>
    </row>
    <row r="1657" spans="20:20" x14ac:dyDescent="0.25">
      <c r="T1657" s="1"/>
    </row>
    <row r="1658" spans="20:20" x14ac:dyDescent="0.25">
      <c r="T1658" s="1"/>
    </row>
    <row r="1659" spans="20:20" x14ac:dyDescent="0.25">
      <c r="T1659" s="1"/>
    </row>
    <row r="1660" spans="20:20" x14ac:dyDescent="0.25">
      <c r="T1660" s="1"/>
    </row>
    <row r="1661" spans="20:20" x14ac:dyDescent="0.25">
      <c r="T1661" s="1"/>
    </row>
    <row r="1662" spans="20:20" x14ac:dyDescent="0.25">
      <c r="T1662" s="1"/>
    </row>
    <row r="1663" spans="20:20" x14ac:dyDescent="0.25">
      <c r="T1663" s="1"/>
    </row>
    <row r="1664" spans="20:20" x14ac:dyDescent="0.25">
      <c r="T1664" s="1"/>
    </row>
    <row r="1665" spans="20:20" x14ac:dyDescent="0.25">
      <c r="T1665" s="1"/>
    </row>
    <row r="1666" spans="20:20" x14ac:dyDescent="0.25">
      <c r="T1666" s="1"/>
    </row>
    <row r="1667" spans="20:20" x14ac:dyDescent="0.25">
      <c r="T1667" s="1"/>
    </row>
    <row r="1668" spans="20:20" x14ac:dyDescent="0.25">
      <c r="T1668" s="1"/>
    </row>
    <row r="1669" spans="20:20" x14ac:dyDescent="0.25">
      <c r="T1669" s="1"/>
    </row>
    <row r="1670" spans="20:20" x14ac:dyDescent="0.25">
      <c r="T1670" s="1"/>
    </row>
    <row r="1671" spans="20:20" x14ac:dyDescent="0.25">
      <c r="T1671" s="1"/>
    </row>
    <row r="1672" spans="20:20" x14ac:dyDescent="0.25">
      <c r="T1672" s="1"/>
    </row>
    <row r="1673" spans="20:20" x14ac:dyDescent="0.25">
      <c r="T1673" s="1"/>
    </row>
    <row r="1674" spans="20:20" x14ac:dyDescent="0.25">
      <c r="T1674" s="1"/>
    </row>
    <row r="1675" spans="20:20" x14ac:dyDescent="0.25">
      <c r="T1675" s="1"/>
    </row>
    <row r="1676" spans="20:20" x14ac:dyDescent="0.25">
      <c r="T1676" s="1"/>
    </row>
    <row r="1677" spans="20:20" x14ac:dyDescent="0.25">
      <c r="T1677" s="1"/>
    </row>
    <row r="1678" spans="20:20" x14ac:dyDescent="0.25">
      <c r="T1678" s="1"/>
    </row>
    <row r="1679" spans="20:20" x14ac:dyDescent="0.25">
      <c r="T1679" s="1"/>
    </row>
    <row r="1680" spans="20:20" x14ac:dyDescent="0.25">
      <c r="T1680" s="1"/>
    </row>
    <row r="1681" spans="20:20" x14ac:dyDescent="0.25">
      <c r="T1681" s="1"/>
    </row>
    <row r="1682" spans="20:20" x14ac:dyDescent="0.25">
      <c r="T1682" s="1"/>
    </row>
    <row r="1683" spans="20:20" x14ac:dyDescent="0.25">
      <c r="T1683" s="1"/>
    </row>
    <row r="1684" spans="20:20" x14ac:dyDescent="0.25">
      <c r="T1684" s="1"/>
    </row>
    <row r="1685" spans="20:20" x14ac:dyDescent="0.25">
      <c r="T1685" s="1"/>
    </row>
    <row r="1686" spans="20:20" x14ac:dyDescent="0.25">
      <c r="T1686" s="1"/>
    </row>
    <row r="1687" spans="20:20" x14ac:dyDescent="0.25">
      <c r="T1687" s="1"/>
    </row>
    <row r="1688" spans="20:20" x14ac:dyDescent="0.25">
      <c r="T1688" s="1"/>
    </row>
    <row r="1689" spans="20:20" x14ac:dyDescent="0.25">
      <c r="T1689" s="1"/>
    </row>
    <row r="1690" spans="20:20" x14ac:dyDescent="0.25">
      <c r="T1690" s="1"/>
    </row>
    <row r="1691" spans="20:20" x14ac:dyDescent="0.25">
      <c r="T1691" s="1"/>
    </row>
    <row r="1692" spans="20:20" x14ac:dyDescent="0.25">
      <c r="T1692" s="1"/>
    </row>
    <row r="1693" spans="20:20" x14ac:dyDescent="0.25">
      <c r="T1693" s="1"/>
    </row>
    <row r="1694" spans="20:20" x14ac:dyDescent="0.25">
      <c r="T1694" s="1"/>
    </row>
    <row r="1695" spans="20:20" x14ac:dyDescent="0.25">
      <c r="T1695" s="1"/>
    </row>
    <row r="1696" spans="20:20" x14ac:dyDescent="0.25">
      <c r="T1696" s="1"/>
    </row>
    <row r="1697" spans="20:20" x14ac:dyDescent="0.25">
      <c r="T1697" s="1"/>
    </row>
    <row r="1698" spans="20:20" x14ac:dyDescent="0.25">
      <c r="T1698" s="1"/>
    </row>
    <row r="1699" spans="20:20" x14ac:dyDescent="0.25">
      <c r="T1699" s="1"/>
    </row>
    <row r="1700" spans="20:20" x14ac:dyDescent="0.25">
      <c r="T1700" s="1"/>
    </row>
    <row r="1701" spans="20:20" x14ac:dyDescent="0.25">
      <c r="T1701" s="1"/>
    </row>
    <row r="1702" spans="20:20" x14ac:dyDescent="0.25">
      <c r="T1702" s="1"/>
    </row>
    <row r="1703" spans="20:20" x14ac:dyDescent="0.25">
      <c r="T1703" s="1"/>
    </row>
    <row r="1704" spans="20:20" x14ac:dyDescent="0.25">
      <c r="T1704" s="1"/>
    </row>
    <row r="1705" spans="20:20" x14ac:dyDescent="0.25">
      <c r="T1705" s="1"/>
    </row>
    <row r="1706" spans="20:20" x14ac:dyDescent="0.25">
      <c r="T1706" s="1"/>
    </row>
    <row r="1707" spans="20:20" x14ac:dyDescent="0.25">
      <c r="T1707" s="1"/>
    </row>
    <row r="1708" spans="20:20" x14ac:dyDescent="0.25">
      <c r="T1708" s="1"/>
    </row>
    <row r="1709" spans="20:20" x14ac:dyDescent="0.25">
      <c r="T1709" s="1"/>
    </row>
    <row r="1710" spans="20:20" x14ac:dyDescent="0.25">
      <c r="T1710" s="1"/>
    </row>
    <row r="1711" spans="20:20" x14ac:dyDescent="0.25">
      <c r="T1711" s="1"/>
    </row>
    <row r="1712" spans="20:20" x14ac:dyDescent="0.25">
      <c r="T1712" s="1"/>
    </row>
    <row r="1713" spans="20:20" x14ac:dyDescent="0.25">
      <c r="T1713" s="1"/>
    </row>
    <row r="1714" spans="20:20" x14ac:dyDescent="0.25">
      <c r="T1714" s="1"/>
    </row>
    <row r="1715" spans="20:20" x14ac:dyDescent="0.25">
      <c r="T1715" s="1"/>
    </row>
    <row r="1716" spans="20:20" x14ac:dyDescent="0.25">
      <c r="T1716" s="1"/>
    </row>
    <row r="1717" spans="20:20" x14ac:dyDescent="0.25">
      <c r="T1717" s="1"/>
    </row>
    <row r="1718" spans="20:20" x14ac:dyDescent="0.25">
      <c r="T1718" s="1"/>
    </row>
    <row r="1719" spans="20:20" x14ac:dyDescent="0.25">
      <c r="T1719" s="1"/>
    </row>
    <row r="1720" spans="20:20" x14ac:dyDescent="0.25">
      <c r="T1720" s="1"/>
    </row>
    <row r="1721" spans="20:20" x14ac:dyDescent="0.25">
      <c r="T1721" s="1"/>
    </row>
    <row r="1722" spans="20:20" x14ac:dyDescent="0.25">
      <c r="T1722" s="1"/>
    </row>
    <row r="1723" spans="20:20" x14ac:dyDescent="0.25">
      <c r="T1723" s="1"/>
    </row>
    <row r="1724" spans="20:20" x14ac:dyDescent="0.25">
      <c r="T1724" s="1"/>
    </row>
    <row r="1725" spans="20:20" x14ac:dyDescent="0.25">
      <c r="T1725" s="1"/>
    </row>
    <row r="1726" spans="20:20" x14ac:dyDescent="0.25">
      <c r="T1726" s="1"/>
    </row>
    <row r="1727" spans="20:20" x14ac:dyDescent="0.25">
      <c r="T1727" s="1"/>
    </row>
    <row r="1728" spans="20:20" x14ac:dyDescent="0.25">
      <c r="T1728" s="1"/>
    </row>
    <row r="1729" spans="20:20" x14ac:dyDescent="0.25">
      <c r="T1729" s="1"/>
    </row>
    <row r="1730" spans="20:20" x14ac:dyDescent="0.25">
      <c r="T1730" s="1"/>
    </row>
    <row r="1731" spans="20:20" x14ac:dyDescent="0.25">
      <c r="T1731" s="1"/>
    </row>
    <row r="1732" spans="20:20" x14ac:dyDescent="0.25">
      <c r="T1732" s="1"/>
    </row>
    <row r="1733" spans="20:20" x14ac:dyDescent="0.25">
      <c r="T1733" s="1"/>
    </row>
    <row r="1734" spans="20:20" x14ac:dyDescent="0.25">
      <c r="T1734" s="1"/>
    </row>
    <row r="1735" spans="20:20" x14ac:dyDescent="0.25">
      <c r="T1735" s="1"/>
    </row>
    <row r="1736" spans="20:20" x14ac:dyDescent="0.25">
      <c r="T1736" s="1"/>
    </row>
    <row r="1737" spans="20:20" x14ac:dyDescent="0.25">
      <c r="T1737" s="1"/>
    </row>
    <row r="1738" spans="20:20" x14ac:dyDescent="0.25">
      <c r="T1738" s="1"/>
    </row>
    <row r="1739" spans="20:20" x14ac:dyDescent="0.25">
      <c r="T1739" s="1"/>
    </row>
    <row r="1740" spans="20:20" x14ac:dyDescent="0.25">
      <c r="T1740" s="1"/>
    </row>
    <row r="1741" spans="20:20" x14ac:dyDescent="0.25">
      <c r="T1741" s="1"/>
    </row>
    <row r="1742" spans="20:20" x14ac:dyDescent="0.25">
      <c r="T1742" s="1"/>
    </row>
    <row r="1743" spans="20:20" x14ac:dyDescent="0.25">
      <c r="T1743" s="1"/>
    </row>
    <row r="1744" spans="20:20" x14ac:dyDescent="0.25">
      <c r="T1744" s="1"/>
    </row>
    <row r="1745" spans="20:20" x14ac:dyDescent="0.25">
      <c r="T1745" s="1"/>
    </row>
    <row r="1746" spans="20:20" x14ac:dyDescent="0.25">
      <c r="T1746" s="1"/>
    </row>
    <row r="1747" spans="20:20" x14ac:dyDescent="0.25">
      <c r="T1747" s="1"/>
    </row>
    <row r="1748" spans="20:20" x14ac:dyDescent="0.25">
      <c r="T1748" s="1"/>
    </row>
    <row r="1749" spans="20:20" x14ac:dyDescent="0.25">
      <c r="T1749" s="1"/>
    </row>
    <row r="1750" spans="20:20" x14ac:dyDescent="0.25">
      <c r="T1750" s="1"/>
    </row>
    <row r="1751" spans="20:20" x14ac:dyDescent="0.25">
      <c r="T1751" s="1"/>
    </row>
    <row r="1752" spans="20:20" x14ac:dyDescent="0.25">
      <c r="T1752" s="1"/>
    </row>
    <row r="1753" spans="20:20" x14ac:dyDescent="0.25">
      <c r="T1753" s="1"/>
    </row>
    <row r="1754" spans="20:20" x14ac:dyDescent="0.25">
      <c r="T1754" s="1"/>
    </row>
    <row r="1755" spans="20:20" x14ac:dyDescent="0.25">
      <c r="T1755" s="1"/>
    </row>
    <row r="1756" spans="20:20" x14ac:dyDescent="0.25">
      <c r="T1756" s="1"/>
    </row>
    <row r="1757" spans="20:20" x14ac:dyDescent="0.25">
      <c r="T1757" s="1"/>
    </row>
    <row r="1758" spans="20:20" x14ac:dyDescent="0.25">
      <c r="T1758" s="1"/>
    </row>
    <row r="1759" spans="20:20" x14ac:dyDescent="0.25">
      <c r="T1759" s="1"/>
    </row>
    <row r="1760" spans="20:20" x14ac:dyDescent="0.25">
      <c r="T1760" s="1"/>
    </row>
    <row r="1761" spans="20:20" x14ac:dyDescent="0.25">
      <c r="T1761" s="1"/>
    </row>
    <row r="1762" spans="20:20" x14ac:dyDescent="0.25">
      <c r="T1762" s="1"/>
    </row>
    <row r="1763" spans="20:20" x14ac:dyDescent="0.25">
      <c r="T1763" s="1"/>
    </row>
    <row r="1764" spans="20:20" x14ac:dyDescent="0.25">
      <c r="T1764" s="1"/>
    </row>
    <row r="1765" spans="20:20" x14ac:dyDescent="0.25">
      <c r="T1765" s="1"/>
    </row>
    <row r="1766" spans="20:20" x14ac:dyDescent="0.25">
      <c r="T1766" s="1"/>
    </row>
    <row r="1767" spans="20:20" x14ac:dyDescent="0.25">
      <c r="T1767" s="1"/>
    </row>
    <row r="1768" spans="20:20" x14ac:dyDescent="0.25">
      <c r="T1768" s="1"/>
    </row>
    <row r="1769" spans="20:20" x14ac:dyDescent="0.25">
      <c r="T1769" s="1"/>
    </row>
    <row r="1770" spans="20:20" x14ac:dyDescent="0.25">
      <c r="T1770" s="1"/>
    </row>
    <row r="1771" spans="20:20" x14ac:dyDescent="0.25">
      <c r="T1771" s="1"/>
    </row>
    <row r="1772" spans="20:20" x14ac:dyDescent="0.25">
      <c r="T1772" s="1"/>
    </row>
    <row r="1773" spans="20:20" x14ac:dyDescent="0.25">
      <c r="T1773" s="1"/>
    </row>
    <row r="1774" spans="20:20" x14ac:dyDescent="0.25">
      <c r="T1774" s="1"/>
    </row>
    <row r="1775" spans="20:20" x14ac:dyDescent="0.25">
      <c r="T1775" s="1"/>
    </row>
    <row r="1776" spans="20:20" x14ac:dyDescent="0.25">
      <c r="T1776" s="1"/>
    </row>
    <row r="1777" spans="20:20" x14ac:dyDescent="0.25">
      <c r="T1777" s="1"/>
    </row>
    <row r="1778" spans="20:20" x14ac:dyDescent="0.25">
      <c r="T1778" s="1"/>
    </row>
    <row r="1779" spans="20:20" x14ac:dyDescent="0.25">
      <c r="T1779" s="1"/>
    </row>
    <row r="1780" spans="20:20" x14ac:dyDescent="0.25">
      <c r="T1780" s="1"/>
    </row>
    <row r="1781" spans="20:20" x14ac:dyDescent="0.25">
      <c r="T1781" s="1"/>
    </row>
    <row r="1782" spans="20:20" x14ac:dyDescent="0.25">
      <c r="T1782" s="1"/>
    </row>
    <row r="1783" spans="20:20" x14ac:dyDescent="0.25">
      <c r="T1783" s="1"/>
    </row>
    <row r="1784" spans="20:20" x14ac:dyDescent="0.25">
      <c r="T1784" s="1"/>
    </row>
    <row r="1785" spans="20:20" x14ac:dyDescent="0.25">
      <c r="T1785" s="1"/>
    </row>
    <row r="1786" spans="20:20" x14ac:dyDescent="0.25">
      <c r="T1786" s="1"/>
    </row>
    <row r="1787" spans="20:20" x14ac:dyDescent="0.25">
      <c r="T1787" s="1"/>
    </row>
    <row r="1788" spans="20:20" x14ac:dyDescent="0.25">
      <c r="T1788" s="1"/>
    </row>
    <row r="1789" spans="20:20" x14ac:dyDescent="0.25">
      <c r="T1789" s="1"/>
    </row>
    <row r="1790" spans="20:20" x14ac:dyDescent="0.25">
      <c r="T1790" s="1"/>
    </row>
    <row r="1791" spans="20:20" x14ac:dyDescent="0.25">
      <c r="T1791" s="1"/>
    </row>
    <row r="1792" spans="20:20" x14ac:dyDescent="0.25">
      <c r="T1792" s="1"/>
    </row>
    <row r="1793" spans="20:20" x14ac:dyDescent="0.25">
      <c r="T1793" s="1"/>
    </row>
    <row r="1794" spans="20:20" x14ac:dyDescent="0.25">
      <c r="T1794" s="1"/>
    </row>
    <row r="1795" spans="20:20" x14ac:dyDescent="0.25">
      <c r="T1795" s="1"/>
    </row>
    <row r="1796" spans="20:20" x14ac:dyDescent="0.25">
      <c r="T1796" s="1"/>
    </row>
    <row r="1797" spans="20:20" x14ac:dyDescent="0.25">
      <c r="T1797" s="1"/>
    </row>
    <row r="1798" spans="20:20" x14ac:dyDescent="0.25">
      <c r="T1798" s="1"/>
    </row>
    <row r="1799" spans="20:20" x14ac:dyDescent="0.25">
      <c r="T1799" s="1"/>
    </row>
    <row r="1800" spans="20:20" x14ac:dyDescent="0.25">
      <c r="T1800" s="1"/>
    </row>
    <row r="1801" spans="20:20" x14ac:dyDescent="0.25">
      <c r="T1801" s="1"/>
    </row>
    <row r="1802" spans="20:20" x14ac:dyDescent="0.25">
      <c r="T1802" s="1"/>
    </row>
    <row r="1803" spans="20:20" x14ac:dyDescent="0.25">
      <c r="T1803" s="1"/>
    </row>
    <row r="1804" spans="20:20" x14ac:dyDescent="0.25">
      <c r="T1804" s="1"/>
    </row>
    <row r="1805" spans="20:20" x14ac:dyDescent="0.25">
      <c r="T1805" s="1"/>
    </row>
    <row r="1806" spans="20:20" x14ac:dyDescent="0.25">
      <c r="T1806" s="1"/>
    </row>
    <row r="1807" spans="20:20" x14ac:dyDescent="0.25">
      <c r="T1807" s="1"/>
    </row>
    <row r="1808" spans="20:20" x14ac:dyDescent="0.25">
      <c r="T1808" s="1"/>
    </row>
    <row r="1809" spans="20:20" x14ac:dyDescent="0.25">
      <c r="T1809" s="1"/>
    </row>
    <row r="1810" spans="20:20" x14ac:dyDescent="0.25">
      <c r="T1810" s="1"/>
    </row>
    <row r="1811" spans="20:20" x14ac:dyDescent="0.25">
      <c r="T1811" s="1"/>
    </row>
    <row r="1812" spans="20:20" x14ac:dyDescent="0.25">
      <c r="T1812" s="1"/>
    </row>
    <row r="1813" spans="20:20" x14ac:dyDescent="0.25">
      <c r="T1813" s="1"/>
    </row>
    <row r="1814" spans="20:20" x14ac:dyDescent="0.25">
      <c r="T1814" s="1"/>
    </row>
    <row r="1815" spans="20:20" x14ac:dyDescent="0.25">
      <c r="T1815" s="1"/>
    </row>
    <row r="1816" spans="20:20" x14ac:dyDescent="0.25">
      <c r="T1816" s="1"/>
    </row>
    <row r="1817" spans="20:20" x14ac:dyDescent="0.25">
      <c r="T1817" s="1"/>
    </row>
    <row r="1818" spans="20:20" x14ac:dyDescent="0.25">
      <c r="T1818" s="1"/>
    </row>
    <row r="1819" spans="20:20" x14ac:dyDescent="0.25">
      <c r="T1819" s="1"/>
    </row>
    <row r="1820" spans="20:20" x14ac:dyDescent="0.25">
      <c r="T1820" s="1"/>
    </row>
    <row r="1821" spans="20:20" x14ac:dyDescent="0.25">
      <c r="T1821" s="1"/>
    </row>
    <row r="1822" spans="20:20" x14ac:dyDescent="0.25">
      <c r="T1822" s="1"/>
    </row>
    <row r="1823" spans="20:20" x14ac:dyDescent="0.25">
      <c r="T1823" s="1"/>
    </row>
    <row r="1824" spans="20:20" x14ac:dyDescent="0.25">
      <c r="T1824" s="1"/>
    </row>
    <row r="1825" spans="20:20" x14ac:dyDescent="0.25">
      <c r="T1825" s="1"/>
    </row>
    <row r="1826" spans="20:20" x14ac:dyDescent="0.25">
      <c r="T1826" s="1"/>
    </row>
    <row r="1827" spans="20:20" x14ac:dyDescent="0.25">
      <c r="T1827" s="1"/>
    </row>
    <row r="1828" spans="20:20" x14ac:dyDescent="0.25">
      <c r="T1828" s="1"/>
    </row>
    <row r="1829" spans="20:20" x14ac:dyDescent="0.25">
      <c r="T1829" s="1"/>
    </row>
    <row r="1830" spans="20:20" x14ac:dyDescent="0.25">
      <c r="T1830" s="1"/>
    </row>
    <row r="1831" spans="20:20" x14ac:dyDescent="0.25">
      <c r="T1831" s="1"/>
    </row>
    <row r="1832" spans="20:20" x14ac:dyDescent="0.25">
      <c r="T1832" s="1"/>
    </row>
    <row r="1833" spans="20:20" x14ac:dyDescent="0.25">
      <c r="T1833" s="1"/>
    </row>
    <row r="1834" spans="20:20" x14ac:dyDescent="0.25">
      <c r="T1834" s="1"/>
    </row>
    <row r="1835" spans="20:20" x14ac:dyDescent="0.25">
      <c r="T1835" s="1"/>
    </row>
    <row r="1836" spans="20:20" x14ac:dyDescent="0.25">
      <c r="T1836" s="1"/>
    </row>
    <row r="1837" spans="20:20" x14ac:dyDescent="0.25">
      <c r="T1837" s="1"/>
    </row>
    <row r="1838" spans="20:20" x14ac:dyDescent="0.25">
      <c r="T1838" s="1"/>
    </row>
    <row r="1839" spans="20:20" x14ac:dyDescent="0.25">
      <c r="T1839" s="1"/>
    </row>
    <row r="1840" spans="20:20" x14ac:dyDescent="0.25">
      <c r="T1840" s="1"/>
    </row>
    <row r="1841" spans="20:20" x14ac:dyDescent="0.25">
      <c r="T1841" s="1"/>
    </row>
    <row r="1842" spans="20:20" x14ac:dyDescent="0.25">
      <c r="T1842" s="1"/>
    </row>
    <row r="1843" spans="20:20" x14ac:dyDescent="0.25">
      <c r="T1843" s="1"/>
    </row>
    <row r="1844" spans="20:20" x14ac:dyDescent="0.25">
      <c r="T1844" s="1"/>
    </row>
    <row r="1845" spans="20:20" x14ac:dyDescent="0.25">
      <c r="T1845" s="1"/>
    </row>
    <row r="1846" spans="20:20" x14ac:dyDescent="0.25">
      <c r="T1846" s="1"/>
    </row>
    <row r="1847" spans="20:20" x14ac:dyDescent="0.25">
      <c r="T1847" s="1"/>
    </row>
    <row r="1848" spans="20:20" x14ac:dyDescent="0.25">
      <c r="T1848" s="1"/>
    </row>
    <row r="1849" spans="20:20" x14ac:dyDescent="0.25">
      <c r="T1849" s="1"/>
    </row>
    <row r="1850" spans="20:20" x14ac:dyDescent="0.25">
      <c r="T1850" s="1"/>
    </row>
    <row r="1851" spans="20:20" x14ac:dyDescent="0.25">
      <c r="T1851" s="1"/>
    </row>
    <row r="1852" spans="20:20" x14ac:dyDescent="0.25">
      <c r="T1852" s="1"/>
    </row>
    <row r="1853" spans="20:20" x14ac:dyDescent="0.25">
      <c r="T1853" s="1"/>
    </row>
    <row r="1854" spans="20:20" x14ac:dyDescent="0.25">
      <c r="T1854" s="1"/>
    </row>
    <row r="1855" spans="20:20" x14ac:dyDescent="0.25">
      <c r="T1855" s="1"/>
    </row>
    <row r="1856" spans="20:20" x14ac:dyDescent="0.25">
      <c r="T1856" s="1"/>
    </row>
    <row r="1857" spans="20:20" x14ac:dyDescent="0.25">
      <c r="T1857" s="1"/>
    </row>
    <row r="1858" spans="20:20" x14ac:dyDescent="0.25">
      <c r="T1858" s="1"/>
    </row>
    <row r="1859" spans="20:20" x14ac:dyDescent="0.25">
      <c r="T1859" s="1"/>
    </row>
    <row r="1860" spans="20:20" x14ac:dyDescent="0.25">
      <c r="T1860" s="1"/>
    </row>
    <row r="1861" spans="20:20" x14ac:dyDescent="0.25">
      <c r="T1861" s="1"/>
    </row>
    <row r="1862" spans="20:20" x14ac:dyDescent="0.25">
      <c r="T1862" s="1"/>
    </row>
    <row r="1863" spans="20:20" x14ac:dyDescent="0.25">
      <c r="T1863" s="1"/>
    </row>
    <row r="1864" spans="20:20" x14ac:dyDescent="0.25">
      <c r="T1864" s="1"/>
    </row>
    <row r="1865" spans="20:20" x14ac:dyDescent="0.25">
      <c r="T1865" s="1"/>
    </row>
    <row r="1866" spans="20:20" x14ac:dyDescent="0.25">
      <c r="T1866" s="1"/>
    </row>
    <row r="1867" spans="20:20" x14ac:dyDescent="0.25">
      <c r="T1867" s="1"/>
    </row>
    <row r="1868" spans="20:20" x14ac:dyDescent="0.25">
      <c r="T1868" s="1"/>
    </row>
    <row r="1869" spans="20:20" x14ac:dyDescent="0.25">
      <c r="T1869" s="1"/>
    </row>
    <row r="1870" spans="20:20" x14ac:dyDescent="0.25">
      <c r="T1870" s="1"/>
    </row>
    <row r="1871" spans="20:20" x14ac:dyDescent="0.25">
      <c r="T1871" s="1"/>
    </row>
    <row r="1872" spans="20:20" x14ac:dyDescent="0.25">
      <c r="T1872" s="1"/>
    </row>
    <row r="1873" spans="20:20" x14ac:dyDescent="0.25">
      <c r="T1873" s="1"/>
    </row>
    <row r="1874" spans="20:20" x14ac:dyDescent="0.25">
      <c r="T1874" s="1"/>
    </row>
    <row r="1875" spans="20:20" x14ac:dyDescent="0.25">
      <c r="T1875" s="1"/>
    </row>
    <row r="1876" spans="20:20" x14ac:dyDescent="0.25">
      <c r="T1876" s="1"/>
    </row>
    <row r="1877" spans="20:20" x14ac:dyDescent="0.25">
      <c r="T1877" s="1"/>
    </row>
    <row r="1878" spans="20:20" x14ac:dyDescent="0.25">
      <c r="T1878" s="1"/>
    </row>
    <row r="1879" spans="20:20" x14ac:dyDescent="0.25">
      <c r="T1879" s="1"/>
    </row>
    <row r="1880" spans="20:20" x14ac:dyDescent="0.25">
      <c r="T1880" s="1"/>
    </row>
    <row r="1881" spans="20:20" x14ac:dyDescent="0.25">
      <c r="T1881" s="1"/>
    </row>
    <row r="1882" spans="20:20" x14ac:dyDescent="0.25">
      <c r="T1882" s="1"/>
    </row>
    <row r="1883" spans="20:20" x14ac:dyDescent="0.25">
      <c r="T1883" s="1"/>
    </row>
    <row r="1884" spans="20:20" x14ac:dyDescent="0.25">
      <c r="T1884" s="1"/>
    </row>
    <row r="1885" spans="20:20" x14ac:dyDescent="0.25">
      <c r="T1885" s="1"/>
    </row>
    <row r="1886" spans="20:20" x14ac:dyDescent="0.25">
      <c r="T1886" s="1"/>
    </row>
    <row r="1887" spans="20:20" x14ac:dyDescent="0.25">
      <c r="T1887" s="1"/>
    </row>
    <row r="1888" spans="20:20" x14ac:dyDescent="0.25">
      <c r="T1888" s="1"/>
    </row>
    <row r="1889" spans="20:20" x14ac:dyDescent="0.25">
      <c r="T1889" s="1"/>
    </row>
    <row r="1890" spans="20:20" x14ac:dyDescent="0.25">
      <c r="T1890" s="1"/>
    </row>
    <row r="1891" spans="20:20" x14ac:dyDescent="0.25">
      <c r="T1891" s="1"/>
    </row>
    <row r="1892" spans="20:20" x14ac:dyDescent="0.25">
      <c r="T1892" s="1"/>
    </row>
    <row r="1893" spans="20:20" x14ac:dyDescent="0.25">
      <c r="T1893" s="1"/>
    </row>
    <row r="1894" spans="20:20" x14ac:dyDescent="0.25">
      <c r="T1894" s="1"/>
    </row>
    <row r="1895" spans="20:20" x14ac:dyDescent="0.25">
      <c r="T1895" s="1"/>
    </row>
    <row r="1896" spans="20:20" x14ac:dyDescent="0.25">
      <c r="T1896" s="1"/>
    </row>
    <row r="1897" spans="20:20" x14ac:dyDescent="0.25">
      <c r="T1897" s="1"/>
    </row>
    <row r="1898" spans="20:20" x14ac:dyDescent="0.25">
      <c r="T1898" s="1"/>
    </row>
    <row r="1899" spans="20:20" x14ac:dyDescent="0.25">
      <c r="T1899" s="1"/>
    </row>
    <row r="1900" spans="20:20" x14ac:dyDescent="0.25">
      <c r="T1900" s="1"/>
    </row>
    <row r="1901" spans="20:20" x14ac:dyDescent="0.25">
      <c r="T1901" s="1"/>
    </row>
    <row r="1902" spans="20:20" x14ac:dyDescent="0.25">
      <c r="T1902" s="1"/>
    </row>
    <row r="1903" spans="20:20" x14ac:dyDescent="0.25">
      <c r="T1903" s="1"/>
    </row>
    <row r="1904" spans="20:20" x14ac:dyDescent="0.25">
      <c r="T1904" s="1"/>
    </row>
    <row r="1905" spans="20:20" x14ac:dyDescent="0.25">
      <c r="T1905" s="1"/>
    </row>
    <row r="1906" spans="20:20" x14ac:dyDescent="0.25">
      <c r="T1906" s="1"/>
    </row>
    <row r="1907" spans="20:20" x14ac:dyDescent="0.25">
      <c r="T1907" s="1"/>
    </row>
    <row r="1908" spans="20:20" x14ac:dyDescent="0.25">
      <c r="T1908" s="1"/>
    </row>
    <row r="1909" spans="20:20" x14ac:dyDescent="0.25">
      <c r="T1909" s="1"/>
    </row>
    <row r="1910" spans="20:20" x14ac:dyDescent="0.25">
      <c r="T1910" s="1"/>
    </row>
    <row r="1911" spans="20:20" x14ac:dyDescent="0.25">
      <c r="T1911" s="1"/>
    </row>
    <row r="1912" spans="20:20" x14ac:dyDescent="0.25">
      <c r="T1912" s="1"/>
    </row>
    <row r="1913" spans="20:20" x14ac:dyDescent="0.25">
      <c r="T1913" s="1"/>
    </row>
    <row r="1914" spans="20:20" x14ac:dyDescent="0.25">
      <c r="T1914" s="1"/>
    </row>
    <row r="1915" spans="20:20" x14ac:dyDescent="0.25">
      <c r="T1915" s="1"/>
    </row>
    <row r="1916" spans="20:20" x14ac:dyDescent="0.25">
      <c r="T1916" s="1"/>
    </row>
    <row r="1917" spans="20:20" x14ac:dyDescent="0.25">
      <c r="T1917" s="1"/>
    </row>
    <row r="1918" spans="20:20" x14ac:dyDescent="0.25">
      <c r="T1918" s="1"/>
    </row>
    <row r="1919" spans="20:20" x14ac:dyDescent="0.25">
      <c r="T1919" s="1"/>
    </row>
    <row r="1920" spans="20:20" x14ac:dyDescent="0.25">
      <c r="T1920" s="1"/>
    </row>
    <row r="1921" spans="20:20" x14ac:dyDescent="0.25">
      <c r="T1921" s="1"/>
    </row>
    <row r="1922" spans="20:20" x14ac:dyDescent="0.25">
      <c r="T1922" s="1"/>
    </row>
    <row r="1923" spans="20:20" x14ac:dyDescent="0.25">
      <c r="T1923" s="1"/>
    </row>
    <row r="1924" spans="20:20" x14ac:dyDescent="0.25">
      <c r="T1924" s="1"/>
    </row>
    <row r="1925" spans="20:20" x14ac:dyDescent="0.25">
      <c r="T1925" s="1"/>
    </row>
    <row r="1926" spans="20:20" x14ac:dyDescent="0.25">
      <c r="T1926" s="1"/>
    </row>
    <row r="1927" spans="20:20" x14ac:dyDescent="0.25">
      <c r="T1927" s="1"/>
    </row>
    <row r="1928" spans="20:20" x14ac:dyDescent="0.25">
      <c r="T1928" s="1"/>
    </row>
    <row r="1929" spans="20:20" x14ac:dyDescent="0.25">
      <c r="T1929" s="1"/>
    </row>
    <row r="1930" spans="20:20" x14ac:dyDescent="0.25">
      <c r="T1930" s="1"/>
    </row>
    <row r="1931" spans="20:20" x14ac:dyDescent="0.25">
      <c r="T1931" s="1"/>
    </row>
    <row r="1932" spans="20:20" x14ac:dyDescent="0.25">
      <c r="T1932" s="1"/>
    </row>
    <row r="1933" spans="20:20" x14ac:dyDescent="0.25">
      <c r="T1933" s="1"/>
    </row>
    <row r="1934" spans="20:20" x14ac:dyDescent="0.25">
      <c r="T1934" s="1"/>
    </row>
    <row r="1935" spans="20:20" x14ac:dyDescent="0.25">
      <c r="T1935" s="1"/>
    </row>
    <row r="1936" spans="20:20" x14ac:dyDescent="0.25">
      <c r="T1936" s="1"/>
    </row>
    <row r="1937" spans="20:20" x14ac:dyDescent="0.25">
      <c r="T1937" s="1"/>
    </row>
    <row r="1938" spans="20:20" x14ac:dyDescent="0.25">
      <c r="T1938" s="1"/>
    </row>
    <row r="1939" spans="20:20" x14ac:dyDescent="0.25">
      <c r="T1939" s="1"/>
    </row>
    <row r="1940" spans="20:20" x14ac:dyDescent="0.25">
      <c r="T1940" s="1"/>
    </row>
    <row r="1941" spans="20:20" x14ac:dyDescent="0.25">
      <c r="T1941" s="1"/>
    </row>
    <row r="1942" spans="20:20" x14ac:dyDescent="0.25">
      <c r="T1942" s="1"/>
    </row>
    <row r="1943" spans="20:20" x14ac:dyDescent="0.25">
      <c r="T1943" s="1"/>
    </row>
    <row r="1944" spans="20:20" x14ac:dyDescent="0.25">
      <c r="T1944" s="1"/>
    </row>
    <row r="1945" spans="20:20" x14ac:dyDescent="0.25">
      <c r="T1945" s="1"/>
    </row>
    <row r="1946" spans="20:20" x14ac:dyDescent="0.25">
      <c r="T1946" s="1"/>
    </row>
    <row r="1947" spans="20:20" x14ac:dyDescent="0.25">
      <c r="T1947" s="1"/>
    </row>
    <row r="1948" spans="20:20" x14ac:dyDescent="0.25">
      <c r="T1948" s="1"/>
    </row>
    <row r="1949" spans="20:20" x14ac:dyDescent="0.25">
      <c r="T1949" s="1"/>
    </row>
    <row r="1950" spans="20:20" x14ac:dyDescent="0.25">
      <c r="T1950" s="1"/>
    </row>
    <row r="1951" spans="20:20" x14ac:dyDescent="0.25">
      <c r="T1951" s="1"/>
    </row>
    <row r="1952" spans="20:20" x14ac:dyDescent="0.25">
      <c r="T1952" s="1"/>
    </row>
    <row r="1953" spans="20:20" x14ac:dyDescent="0.25">
      <c r="T1953" s="1"/>
    </row>
    <row r="1954" spans="20:20" x14ac:dyDescent="0.25">
      <c r="T1954" s="1"/>
    </row>
    <row r="1955" spans="20:20" x14ac:dyDescent="0.25">
      <c r="T1955" s="1"/>
    </row>
    <row r="1956" spans="20:20" x14ac:dyDescent="0.25">
      <c r="T1956" s="1"/>
    </row>
    <row r="1957" spans="20:20" x14ac:dyDescent="0.25">
      <c r="T1957" s="1"/>
    </row>
    <row r="1958" spans="20:20" x14ac:dyDescent="0.25">
      <c r="T1958" s="1"/>
    </row>
    <row r="1959" spans="20:20" x14ac:dyDescent="0.25">
      <c r="T1959" s="1"/>
    </row>
    <row r="1960" spans="20:20" x14ac:dyDescent="0.25">
      <c r="T1960" s="1"/>
    </row>
    <row r="1961" spans="20:20" x14ac:dyDescent="0.25">
      <c r="T1961" s="1"/>
    </row>
    <row r="1962" spans="20:20" x14ac:dyDescent="0.25">
      <c r="T1962" s="1"/>
    </row>
    <row r="1963" spans="20:20" x14ac:dyDescent="0.25">
      <c r="T1963" s="1"/>
    </row>
    <row r="1964" spans="20:20" x14ac:dyDescent="0.25">
      <c r="T1964" s="1"/>
    </row>
    <row r="1965" spans="20:20" x14ac:dyDescent="0.25">
      <c r="T1965" s="1"/>
    </row>
    <row r="1966" spans="20:20" x14ac:dyDescent="0.25">
      <c r="T1966" s="1"/>
    </row>
    <row r="1967" spans="20:20" x14ac:dyDescent="0.25">
      <c r="T1967" s="1"/>
    </row>
    <row r="1968" spans="20:20" x14ac:dyDescent="0.25">
      <c r="T1968" s="1"/>
    </row>
    <row r="1969" spans="20:20" x14ac:dyDescent="0.25">
      <c r="T1969" s="1"/>
    </row>
    <row r="1970" spans="20:20" x14ac:dyDescent="0.25">
      <c r="T1970" s="1"/>
    </row>
    <row r="1971" spans="20:20" x14ac:dyDescent="0.25">
      <c r="T1971" s="1"/>
    </row>
    <row r="1972" spans="20:20" x14ac:dyDescent="0.25">
      <c r="T1972" s="1"/>
    </row>
    <row r="1973" spans="20:20" x14ac:dyDescent="0.25">
      <c r="T1973" s="1"/>
    </row>
    <row r="1974" spans="20:20" x14ac:dyDescent="0.25">
      <c r="T1974" s="1"/>
    </row>
    <row r="1975" spans="20:20" x14ac:dyDescent="0.25">
      <c r="T1975" s="1"/>
    </row>
    <row r="1976" spans="20:20" x14ac:dyDescent="0.25">
      <c r="T1976" s="1"/>
    </row>
    <row r="1977" spans="20:20" x14ac:dyDescent="0.25">
      <c r="T1977" s="1"/>
    </row>
    <row r="1978" spans="20:20" x14ac:dyDescent="0.25">
      <c r="T1978" s="1"/>
    </row>
    <row r="1979" spans="20:20" x14ac:dyDescent="0.25">
      <c r="T1979" s="1"/>
    </row>
    <row r="1980" spans="20:20" x14ac:dyDescent="0.25">
      <c r="T1980" s="1"/>
    </row>
    <row r="1981" spans="20:20" x14ac:dyDescent="0.25">
      <c r="T1981" s="1"/>
    </row>
    <row r="1982" spans="20:20" x14ac:dyDescent="0.25">
      <c r="T1982" s="1"/>
    </row>
    <row r="1983" spans="20:20" x14ac:dyDescent="0.25">
      <c r="T1983" s="1"/>
    </row>
    <row r="1984" spans="20:20" x14ac:dyDescent="0.25">
      <c r="T1984" s="1"/>
    </row>
    <row r="1985" spans="20:20" x14ac:dyDescent="0.25">
      <c r="T1985" s="1"/>
    </row>
    <row r="1986" spans="20:20" x14ac:dyDescent="0.25">
      <c r="T1986" s="1"/>
    </row>
    <row r="1987" spans="20:20" x14ac:dyDescent="0.25">
      <c r="T1987" s="1"/>
    </row>
    <row r="1988" spans="20:20" x14ac:dyDescent="0.25">
      <c r="T1988" s="1"/>
    </row>
    <row r="1989" spans="20:20" x14ac:dyDescent="0.25">
      <c r="T1989" s="1"/>
    </row>
    <row r="1990" spans="20:20" x14ac:dyDescent="0.25">
      <c r="T1990" s="1"/>
    </row>
    <row r="1991" spans="20:20" x14ac:dyDescent="0.25">
      <c r="T1991" s="1"/>
    </row>
    <row r="1992" spans="20:20" x14ac:dyDescent="0.25">
      <c r="T1992" s="1"/>
    </row>
    <row r="1993" spans="20:20" x14ac:dyDescent="0.25">
      <c r="T1993" s="1"/>
    </row>
    <row r="1994" spans="20:20" x14ac:dyDescent="0.25">
      <c r="T1994" s="1"/>
    </row>
    <row r="1995" spans="20:20" x14ac:dyDescent="0.25">
      <c r="T1995" s="1"/>
    </row>
    <row r="1996" spans="20:20" x14ac:dyDescent="0.25">
      <c r="T1996" s="1"/>
    </row>
    <row r="1997" spans="20:20" x14ac:dyDescent="0.25">
      <c r="T1997" s="1"/>
    </row>
    <row r="1998" spans="20:20" x14ac:dyDescent="0.25">
      <c r="T1998" s="1"/>
    </row>
    <row r="1999" spans="20:20" x14ac:dyDescent="0.25">
      <c r="T1999" s="1"/>
    </row>
    <row r="2000" spans="20:20" x14ac:dyDescent="0.25">
      <c r="T2000" s="1"/>
    </row>
    <row r="2001" spans="20:20" x14ac:dyDescent="0.25">
      <c r="T2001" s="1"/>
    </row>
    <row r="2002" spans="20:20" x14ac:dyDescent="0.25">
      <c r="T2002" s="1"/>
    </row>
    <row r="2003" spans="20:20" x14ac:dyDescent="0.25">
      <c r="T2003" s="1"/>
    </row>
    <row r="2004" spans="20:20" x14ac:dyDescent="0.25">
      <c r="T2004" s="1"/>
    </row>
    <row r="2005" spans="20:20" x14ac:dyDescent="0.25">
      <c r="T2005" s="1"/>
    </row>
    <row r="2006" spans="20:20" x14ac:dyDescent="0.25">
      <c r="T2006" s="1"/>
    </row>
    <row r="2007" spans="20:20" x14ac:dyDescent="0.25">
      <c r="T2007" s="1"/>
    </row>
    <row r="2008" spans="20:20" x14ac:dyDescent="0.25">
      <c r="T2008" s="1"/>
    </row>
    <row r="2009" spans="20:20" x14ac:dyDescent="0.25">
      <c r="T2009" s="1"/>
    </row>
    <row r="2010" spans="20:20" x14ac:dyDescent="0.25">
      <c r="T2010" s="1"/>
    </row>
    <row r="2011" spans="20:20" x14ac:dyDescent="0.25">
      <c r="T2011" s="1"/>
    </row>
    <row r="2012" spans="20:20" x14ac:dyDescent="0.25">
      <c r="T2012" s="1"/>
    </row>
    <row r="2013" spans="20:20" x14ac:dyDescent="0.25">
      <c r="T2013" s="1"/>
    </row>
    <row r="2014" spans="20:20" x14ac:dyDescent="0.25">
      <c r="T2014" s="1"/>
    </row>
    <row r="2015" spans="20:20" x14ac:dyDescent="0.25">
      <c r="T2015" s="1"/>
    </row>
    <row r="2016" spans="20:20" x14ac:dyDescent="0.25">
      <c r="T2016" s="1"/>
    </row>
    <row r="2017" spans="20:20" x14ac:dyDescent="0.25">
      <c r="T2017" s="1"/>
    </row>
    <row r="2018" spans="20:20" x14ac:dyDescent="0.25">
      <c r="T2018" s="1"/>
    </row>
    <row r="2019" spans="20:20" x14ac:dyDescent="0.25">
      <c r="T2019" s="1"/>
    </row>
    <row r="2020" spans="20:20" x14ac:dyDescent="0.25">
      <c r="T2020" s="1"/>
    </row>
    <row r="2021" spans="20:20" x14ac:dyDescent="0.25">
      <c r="T2021" s="1"/>
    </row>
    <row r="2022" spans="20:20" x14ac:dyDescent="0.25">
      <c r="T2022" s="1"/>
    </row>
    <row r="2023" spans="20:20" x14ac:dyDescent="0.25">
      <c r="T2023" s="1"/>
    </row>
    <row r="2024" spans="20:20" x14ac:dyDescent="0.25">
      <c r="T2024" s="1"/>
    </row>
    <row r="2025" spans="20:20" x14ac:dyDescent="0.25">
      <c r="T2025" s="1"/>
    </row>
    <row r="2026" spans="20:20" x14ac:dyDescent="0.25">
      <c r="T2026" s="1"/>
    </row>
    <row r="2027" spans="20:20" x14ac:dyDescent="0.25">
      <c r="T2027" s="1"/>
    </row>
    <row r="2028" spans="20:20" x14ac:dyDescent="0.25">
      <c r="T2028" s="1"/>
    </row>
    <row r="2029" spans="20:20" x14ac:dyDescent="0.25">
      <c r="T2029" s="1"/>
    </row>
    <row r="2030" spans="20:20" x14ac:dyDescent="0.25">
      <c r="T2030" s="1"/>
    </row>
    <row r="2031" spans="20:20" x14ac:dyDescent="0.25">
      <c r="T2031" s="1"/>
    </row>
    <row r="2032" spans="20:20" x14ac:dyDescent="0.25">
      <c r="T2032" s="1"/>
    </row>
    <row r="2033" spans="20:20" x14ac:dyDescent="0.25">
      <c r="T2033" s="1"/>
    </row>
    <row r="2034" spans="20:20" x14ac:dyDescent="0.25">
      <c r="T2034" s="1"/>
    </row>
    <row r="2035" spans="20:20" x14ac:dyDescent="0.25">
      <c r="T2035" s="1"/>
    </row>
    <row r="2036" spans="20:20" x14ac:dyDescent="0.25">
      <c r="T2036" s="1"/>
    </row>
    <row r="2037" spans="20:20" x14ac:dyDescent="0.25">
      <c r="T2037" s="1"/>
    </row>
    <row r="2038" spans="20:20" x14ac:dyDescent="0.25">
      <c r="T2038" s="1"/>
    </row>
    <row r="2039" spans="20:20" x14ac:dyDescent="0.25">
      <c r="T2039" s="1"/>
    </row>
    <row r="2040" spans="20:20" x14ac:dyDescent="0.25">
      <c r="T2040" s="1"/>
    </row>
    <row r="2041" spans="20:20" x14ac:dyDescent="0.25">
      <c r="T2041" s="1"/>
    </row>
    <row r="2042" spans="20:20" x14ac:dyDescent="0.25">
      <c r="T2042" s="1"/>
    </row>
    <row r="2043" spans="20:20" x14ac:dyDescent="0.25">
      <c r="T2043" s="1"/>
    </row>
    <row r="2044" spans="20:20" x14ac:dyDescent="0.25">
      <c r="T2044" s="1"/>
    </row>
    <row r="2045" spans="20:20" x14ac:dyDescent="0.25">
      <c r="T2045" s="1"/>
    </row>
    <row r="2046" spans="20:20" x14ac:dyDescent="0.25">
      <c r="T2046" s="1"/>
    </row>
    <row r="2047" spans="20:20" x14ac:dyDescent="0.25">
      <c r="T2047" s="1"/>
    </row>
    <row r="2048" spans="20:20" x14ac:dyDescent="0.25">
      <c r="T2048" s="1"/>
    </row>
    <row r="2049" spans="20:20" x14ac:dyDescent="0.25">
      <c r="T2049" s="1"/>
    </row>
    <row r="2050" spans="20:20" x14ac:dyDescent="0.25">
      <c r="T2050" s="1"/>
    </row>
    <row r="2051" spans="20:20" x14ac:dyDescent="0.25">
      <c r="T2051" s="1"/>
    </row>
    <row r="2052" spans="20:20" x14ac:dyDescent="0.25">
      <c r="T2052" s="1"/>
    </row>
    <row r="2053" spans="20:20" x14ac:dyDescent="0.25">
      <c r="T2053" s="1"/>
    </row>
    <row r="2054" spans="20:20" x14ac:dyDescent="0.25">
      <c r="T2054" s="1"/>
    </row>
    <row r="2055" spans="20:20" x14ac:dyDescent="0.25">
      <c r="T2055" s="1"/>
    </row>
    <row r="2056" spans="20:20" x14ac:dyDescent="0.25">
      <c r="T2056" s="1"/>
    </row>
    <row r="2057" spans="20:20" x14ac:dyDescent="0.25">
      <c r="T2057" s="1"/>
    </row>
    <row r="2058" spans="20:20" x14ac:dyDescent="0.25">
      <c r="T2058" s="1"/>
    </row>
    <row r="2059" spans="20:20" x14ac:dyDescent="0.25">
      <c r="T2059" s="1"/>
    </row>
    <row r="2060" spans="20:20" x14ac:dyDescent="0.25">
      <c r="T2060" s="1"/>
    </row>
    <row r="2061" spans="20:20" x14ac:dyDescent="0.25">
      <c r="T2061" s="1"/>
    </row>
    <row r="2062" spans="20:20" x14ac:dyDescent="0.25">
      <c r="T2062" s="1"/>
    </row>
    <row r="2063" spans="20:20" x14ac:dyDescent="0.25">
      <c r="T2063" s="1"/>
    </row>
    <row r="2064" spans="20:20" x14ac:dyDescent="0.25">
      <c r="T2064" s="1"/>
    </row>
    <row r="2065" spans="20:20" x14ac:dyDescent="0.25">
      <c r="T2065" s="1"/>
    </row>
    <row r="2066" spans="20:20" x14ac:dyDescent="0.25">
      <c r="T2066" s="1"/>
    </row>
    <row r="2067" spans="20:20" x14ac:dyDescent="0.25">
      <c r="T2067" s="1"/>
    </row>
    <row r="2068" spans="20:20" x14ac:dyDescent="0.25">
      <c r="T2068" s="1"/>
    </row>
    <row r="2069" spans="20:20" x14ac:dyDescent="0.25">
      <c r="T2069" s="1"/>
    </row>
    <row r="2070" spans="20:20" x14ac:dyDescent="0.25">
      <c r="T2070" s="1"/>
    </row>
    <row r="2071" spans="20:20" x14ac:dyDescent="0.25">
      <c r="T2071" s="1"/>
    </row>
    <row r="2072" spans="20:20" x14ac:dyDescent="0.25">
      <c r="T2072" s="1"/>
    </row>
    <row r="2073" spans="20:20" x14ac:dyDescent="0.25">
      <c r="T2073" s="1"/>
    </row>
    <row r="2074" spans="20:20" x14ac:dyDescent="0.25">
      <c r="T2074" s="1"/>
    </row>
    <row r="2075" spans="20:20" x14ac:dyDescent="0.25">
      <c r="T2075" s="1"/>
    </row>
    <row r="2076" spans="20:20" x14ac:dyDescent="0.25">
      <c r="T2076" s="1"/>
    </row>
    <row r="2077" spans="20:20" x14ac:dyDescent="0.25">
      <c r="T2077" s="1"/>
    </row>
    <row r="2078" spans="20:20" x14ac:dyDescent="0.25">
      <c r="T2078" s="1"/>
    </row>
    <row r="2079" spans="20:20" x14ac:dyDescent="0.25">
      <c r="T2079" s="1"/>
    </row>
    <row r="2080" spans="20:20" x14ac:dyDescent="0.25">
      <c r="T2080" s="1"/>
    </row>
    <row r="2081" spans="20:20" x14ac:dyDescent="0.25">
      <c r="T2081" s="1"/>
    </row>
    <row r="2082" spans="20:20" x14ac:dyDescent="0.25">
      <c r="T2082" s="1"/>
    </row>
    <row r="2083" spans="20:20" x14ac:dyDescent="0.25">
      <c r="T2083" s="1"/>
    </row>
    <row r="2084" spans="20:20" x14ac:dyDescent="0.25">
      <c r="T2084" s="1"/>
    </row>
    <row r="2085" spans="20:20" x14ac:dyDescent="0.25">
      <c r="T2085" s="1"/>
    </row>
    <row r="2086" spans="20:20" x14ac:dyDescent="0.25">
      <c r="T2086" s="1"/>
    </row>
    <row r="2087" spans="20:20" x14ac:dyDescent="0.25">
      <c r="T2087" s="1"/>
    </row>
    <row r="2088" spans="20:20" x14ac:dyDescent="0.25">
      <c r="T2088" s="1"/>
    </row>
    <row r="2089" spans="20:20" x14ac:dyDescent="0.25">
      <c r="T2089" s="1"/>
    </row>
    <row r="2090" spans="20:20" x14ac:dyDescent="0.25">
      <c r="T2090" s="1"/>
    </row>
    <row r="2091" spans="20:20" x14ac:dyDescent="0.25">
      <c r="T2091" s="1"/>
    </row>
    <row r="2092" spans="20:20" x14ac:dyDescent="0.25">
      <c r="T2092" s="1"/>
    </row>
    <row r="2093" spans="20:20" x14ac:dyDescent="0.25">
      <c r="T2093" s="1"/>
    </row>
    <row r="2094" spans="20:20" x14ac:dyDescent="0.25">
      <c r="T2094" s="1"/>
    </row>
    <row r="2095" spans="20:20" x14ac:dyDescent="0.25">
      <c r="T2095" s="1"/>
    </row>
    <row r="2096" spans="20:20" x14ac:dyDescent="0.25">
      <c r="T2096" s="1"/>
    </row>
    <row r="2097" spans="20:20" x14ac:dyDescent="0.25">
      <c r="T2097" s="1"/>
    </row>
    <row r="2098" spans="20:20" x14ac:dyDescent="0.25">
      <c r="T2098" s="1"/>
    </row>
    <row r="2099" spans="20:20" x14ac:dyDescent="0.25">
      <c r="T2099" s="1"/>
    </row>
    <row r="2100" spans="20:20" x14ac:dyDescent="0.25">
      <c r="T2100" s="1"/>
    </row>
    <row r="2101" spans="20:20" x14ac:dyDescent="0.25">
      <c r="T2101" s="1"/>
    </row>
    <row r="2102" spans="20:20" x14ac:dyDescent="0.25">
      <c r="T2102" s="1"/>
    </row>
    <row r="2103" spans="20:20" x14ac:dyDescent="0.25">
      <c r="T2103" s="1"/>
    </row>
    <row r="2104" spans="20:20" x14ac:dyDescent="0.25">
      <c r="T2104" s="1"/>
    </row>
    <row r="2105" spans="20:20" x14ac:dyDescent="0.25">
      <c r="T2105" s="1"/>
    </row>
    <row r="2106" spans="20:20" x14ac:dyDescent="0.25">
      <c r="T2106" s="1"/>
    </row>
    <row r="2107" spans="20:20" x14ac:dyDescent="0.25">
      <c r="T2107" s="1"/>
    </row>
    <row r="2108" spans="20:20" x14ac:dyDescent="0.25">
      <c r="T2108" s="1"/>
    </row>
    <row r="2109" spans="20:20" x14ac:dyDescent="0.25">
      <c r="T2109" s="1"/>
    </row>
    <row r="2110" spans="20:20" x14ac:dyDescent="0.25">
      <c r="T2110" s="1"/>
    </row>
    <row r="2111" spans="20:20" x14ac:dyDescent="0.25">
      <c r="T2111" s="1"/>
    </row>
    <row r="2112" spans="20:20" x14ac:dyDescent="0.25">
      <c r="T2112" s="1"/>
    </row>
    <row r="2113" spans="20:20" x14ac:dyDescent="0.25">
      <c r="T2113" s="1"/>
    </row>
    <row r="2114" spans="20:20" x14ac:dyDescent="0.25">
      <c r="T2114" s="1"/>
    </row>
    <row r="2115" spans="20:20" x14ac:dyDescent="0.25">
      <c r="T2115" s="1"/>
    </row>
    <row r="2116" spans="20:20" x14ac:dyDescent="0.25">
      <c r="T2116" s="1"/>
    </row>
    <row r="2117" spans="20:20" x14ac:dyDescent="0.25">
      <c r="T2117" s="1"/>
    </row>
    <row r="2118" spans="20:20" x14ac:dyDescent="0.25">
      <c r="T2118" s="1"/>
    </row>
    <row r="2119" spans="20:20" x14ac:dyDescent="0.25">
      <c r="T2119" s="1"/>
    </row>
    <row r="2120" spans="20:20" x14ac:dyDescent="0.25">
      <c r="T2120" s="1"/>
    </row>
    <row r="2121" spans="20:20" x14ac:dyDescent="0.25">
      <c r="T2121" s="1"/>
    </row>
    <row r="2122" spans="20:20" x14ac:dyDescent="0.25">
      <c r="T2122" s="1"/>
    </row>
    <row r="2123" spans="20:20" x14ac:dyDescent="0.25">
      <c r="T2123" s="1"/>
    </row>
    <row r="2124" spans="20:20" x14ac:dyDescent="0.25">
      <c r="T2124" s="1"/>
    </row>
    <row r="2125" spans="20:20" x14ac:dyDescent="0.25">
      <c r="T2125" s="1"/>
    </row>
    <row r="2126" spans="20:20" x14ac:dyDescent="0.25">
      <c r="T2126" s="1"/>
    </row>
    <row r="2127" spans="20:20" x14ac:dyDescent="0.25">
      <c r="T2127" s="1"/>
    </row>
    <row r="2128" spans="20:20" x14ac:dyDescent="0.25">
      <c r="T2128" s="1"/>
    </row>
    <row r="2129" spans="20:20" x14ac:dyDescent="0.25">
      <c r="T2129" s="1"/>
    </row>
    <row r="2130" spans="20:20" x14ac:dyDescent="0.25">
      <c r="T2130" s="1"/>
    </row>
    <row r="2131" spans="20:20" x14ac:dyDescent="0.25">
      <c r="T2131" s="1"/>
    </row>
    <row r="2132" spans="20:20" x14ac:dyDescent="0.25">
      <c r="T2132" s="1"/>
    </row>
    <row r="2133" spans="20:20" x14ac:dyDescent="0.25">
      <c r="T2133" s="1"/>
    </row>
    <row r="2134" spans="20:20" x14ac:dyDescent="0.25">
      <c r="T2134" s="1"/>
    </row>
    <row r="2135" spans="20:20" x14ac:dyDescent="0.25">
      <c r="T2135" s="1"/>
    </row>
    <row r="2136" spans="20:20" x14ac:dyDescent="0.25">
      <c r="T2136" s="1"/>
    </row>
    <row r="2137" spans="20:20" x14ac:dyDescent="0.25">
      <c r="T2137" s="1"/>
    </row>
    <row r="2138" spans="20:20" x14ac:dyDescent="0.25">
      <c r="T2138" s="1"/>
    </row>
    <row r="2139" spans="20:20" x14ac:dyDescent="0.25">
      <c r="T2139" s="1"/>
    </row>
    <row r="2140" spans="20:20" x14ac:dyDescent="0.25">
      <c r="T2140" s="1"/>
    </row>
    <row r="2141" spans="20:20" x14ac:dyDescent="0.25">
      <c r="T2141" s="1"/>
    </row>
    <row r="2142" spans="20:20" x14ac:dyDescent="0.25">
      <c r="T2142" s="1"/>
    </row>
    <row r="2143" spans="20:20" x14ac:dyDescent="0.25">
      <c r="T2143" s="1"/>
    </row>
    <row r="2144" spans="20:20" x14ac:dyDescent="0.25">
      <c r="T2144" s="1"/>
    </row>
    <row r="2145" spans="20:20" x14ac:dyDescent="0.25">
      <c r="T2145" s="1"/>
    </row>
    <row r="2146" spans="20:20" x14ac:dyDescent="0.25">
      <c r="T2146" s="1"/>
    </row>
    <row r="2147" spans="20:20" x14ac:dyDescent="0.25">
      <c r="T2147" s="1"/>
    </row>
    <row r="2148" spans="20:20" x14ac:dyDescent="0.25">
      <c r="T2148" s="1"/>
    </row>
    <row r="2149" spans="20:20" x14ac:dyDescent="0.25">
      <c r="T2149" s="1"/>
    </row>
    <row r="2150" spans="20:20" x14ac:dyDescent="0.25">
      <c r="T2150" s="1"/>
    </row>
    <row r="2151" spans="20:20" x14ac:dyDescent="0.25">
      <c r="T2151" s="1"/>
    </row>
    <row r="2152" spans="20:20" x14ac:dyDescent="0.25">
      <c r="T2152" s="1"/>
    </row>
    <row r="2153" spans="20:20" x14ac:dyDescent="0.25">
      <c r="T2153" s="1"/>
    </row>
    <row r="2154" spans="20:20" x14ac:dyDescent="0.25">
      <c r="T2154" s="1"/>
    </row>
    <row r="2155" spans="20:20" x14ac:dyDescent="0.25">
      <c r="T2155" s="1"/>
    </row>
    <row r="2156" spans="20:20" x14ac:dyDescent="0.25">
      <c r="T2156" s="1"/>
    </row>
    <row r="2157" spans="20:20" x14ac:dyDescent="0.25">
      <c r="T2157" s="1"/>
    </row>
    <row r="2158" spans="20:20" x14ac:dyDescent="0.25">
      <c r="T2158" s="1"/>
    </row>
    <row r="2159" spans="20:20" x14ac:dyDescent="0.25">
      <c r="T2159" s="1"/>
    </row>
    <row r="2160" spans="20:20" x14ac:dyDescent="0.25">
      <c r="T2160" s="1"/>
    </row>
    <row r="2161" spans="20:20" x14ac:dyDescent="0.25">
      <c r="T2161" s="1"/>
    </row>
    <row r="2162" spans="20:20" x14ac:dyDescent="0.25">
      <c r="T2162" s="1"/>
    </row>
    <row r="2163" spans="20:20" x14ac:dyDescent="0.25">
      <c r="T2163" s="1"/>
    </row>
    <row r="2164" spans="20:20" x14ac:dyDescent="0.25">
      <c r="T2164" s="1"/>
    </row>
    <row r="2165" spans="20:20" x14ac:dyDescent="0.25">
      <c r="T2165" s="1"/>
    </row>
    <row r="2166" spans="20:20" x14ac:dyDescent="0.25">
      <c r="T2166" s="1"/>
    </row>
    <row r="2167" spans="20:20" x14ac:dyDescent="0.25">
      <c r="T2167" s="1"/>
    </row>
    <row r="2168" spans="20:20" x14ac:dyDescent="0.25">
      <c r="T2168" s="1"/>
    </row>
    <row r="2169" spans="20:20" x14ac:dyDescent="0.25">
      <c r="T2169" s="1"/>
    </row>
    <row r="2170" spans="20:20" x14ac:dyDescent="0.25">
      <c r="T2170" s="1"/>
    </row>
    <row r="2171" spans="20:20" x14ac:dyDescent="0.25">
      <c r="T2171" s="1"/>
    </row>
    <row r="2172" spans="20:20" x14ac:dyDescent="0.25">
      <c r="T2172" s="1"/>
    </row>
    <row r="2173" spans="20:20" x14ac:dyDescent="0.25">
      <c r="T2173" s="1"/>
    </row>
    <row r="2174" spans="20:20" x14ac:dyDescent="0.25">
      <c r="T2174" s="1"/>
    </row>
    <row r="2175" spans="20:20" x14ac:dyDescent="0.25">
      <c r="T2175" s="1"/>
    </row>
    <row r="2176" spans="20:20" x14ac:dyDescent="0.25">
      <c r="T2176" s="1"/>
    </row>
    <row r="2177" spans="20:20" x14ac:dyDescent="0.25">
      <c r="T2177" s="1"/>
    </row>
    <row r="2178" spans="20:20" x14ac:dyDescent="0.25">
      <c r="T2178" s="1"/>
    </row>
    <row r="2179" spans="20:20" x14ac:dyDescent="0.25">
      <c r="T2179" s="1"/>
    </row>
    <row r="2180" spans="20:20" x14ac:dyDescent="0.25">
      <c r="T2180" s="1"/>
    </row>
    <row r="2181" spans="20:20" x14ac:dyDescent="0.25">
      <c r="T2181" s="1"/>
    </row>
    <row r="2182" spans="20:20" x14ac:dyDescent="0.25">
      <c r="T2182" s="1"/>
    </row>
    <row r="2183" spans="20:20" x14ac:dyDescent="0.25">
      <c r="T2183" s="1"/>
    </row>
    <row r="2184" spans="20:20" x14ac:dyDescent="0.25">
      <c r="T2184" s="1"/>
    </row>
    <row r="2185" spans="20:20" x14ac:dyDescent="0.25">
      <c r="T2185" s="1"/>
    </row>
    <row r="2186" spans="20:20" x14ac:dyDescent="0.25">
      <c r="T2186" s="1"/>
    </row>
    <row r="2187" spans="20:20" x14ac:dyDescent="0.25">
      <c r="T2187" s="1"/>
    </row>
    <row r="2188" spans="20:20" x14ac:dyDescent="0.25">
      <c r="T2188" s="1"/>
    </row>
    <row r="2189" spans="20:20" x14ac:dyDescent="0.25">
      <c r="T2189" s="1"/>
    </row>
    <row r="2190" spans="20:20" x14ac:dyDescent="0.25">
      <c r="T2190" s="1"/>
    </row>
    <row r="2191" spans="20:20" x14ac:dyDescent="0.25">
      <c r="T2191" s="1"/>
    </row>
    <row r="2192" spans="20:20" x14ac:dyDescent="0.25">
      <c r="T2192" s="1"/>
    </row>
    <row r="2193" spans="20:20" x14ac:dyDescent="0.25">
      <c r="T2193" s="1"/>
    </row>
    <row r="2194" spans="20:20" x14ac:dyDescent="0.25">
      <c r="T2194" s="1"/>
    </row>
    <row r="2195" spans="20:20" x14ac:dyDescent="0.25">
      <c r="T2195" s="1"/>
    </row>
    <row r="2196" spans="20:20" x14ac:dyDescent="0.25">
      <c r="T2196" s="1"/>
    </row>
    <row r="2197" spans="20:20" x14ac:dyDescent="0.25">
      <c r="T2197" s="1"/>
    </row>
    <row r="2198" spans="20:20" x14ac:dyDescent="0.25">
      <c r="T2198" s="1"/>
    </row>
    <row r="2199" spans="20:20" x14ac:dyDescent="0.25">
      <c r="T2199" s="1"/>
    </row>
    <row r="2200" spans="20:20" x14ac:dyDescent="0.25">
      <c r="T2200" s="1"/>
    </row>
    <row r="2201" spans="20:20" x14ac:dyDescent="0.25">
      <c r="T2201" s="1"/>
    </row>
    <row r="2202" spans="20:20" x14ac:dyDescent="0.25">
      <c r="T2202" s="1"/>
    </row>
    <row r="2203" spans="20:20" x14ac:dyDescent="0.25">
      <c r="T2203" s="1"/>
    </row>
    <row r="2204" spans="20:20" x14ac:dyDescent="0.25">
      <c r="T2204" s="1"/>
    </row>
    <row r="2205" spans="20:20" x14ac:dyDescent="0.25">
      <c r="T2205" s="1"/>
    </row>
    <row r="2206" spans="20:20" x14ac:dyDescent="0.25">
      <c r="T2206" s="1"/>
    </row>
    <row r="2207" spans="20:20" x14ac:dyDescent="0.25">
      <c r="T2207" s="1"/>
    </row>
    <row r="2208" spans="20:20" x14ac:dyDescent="0.25">
      <c r="T2208" s="1"/>
    </row>
    <row r="2209" spans="20:20" x14ac:dyDescent="0.25">
      <c r="T2209" s="1"/>
    </row>
    <row r="2210" spans="20:20" x14ac:dyDescent="0.25">
      <c r="T2210" s="1"/>
    </row>
    <row r="2211" spans="20:20" x14ac:dyDescent="0.25">
      <c r="T2211" s="1"/>
    </row>
    <row r="2212" spans="20:20" x14ac:dyDescent="0.25">
      <c r="T2212" s="1"/>
    </row>
    <row r="2213" spans="20:20" x14ac:dyDescent="0.25">
      <c r="T2213" s="1"/>
    </row>
    <row r="2214" spans="20:20" x14ac:dyDescent="0.25">
      <c r="T2214" s="1"/>
    </row>
    <row r="2215" spans="20:20" x14ac:dyDescent="0.25">
      <c r="T2215" s="1"/>
    </row>
    <row r="2216" spans="20:20" x14ac:dyDescent="0.25">
      <c r="T2216" s="1"/>
    </row>
    <row r="2217" spans="20:20" x14ac:dyDescent="0.25">
      <c r="T2217" s="1"/>
    </row>
    <row r="2218" spans="20:20" x14ac:dyDescent="0.25">
      <c r="T2218" s="1"/>
    </row>
    <row r="2219" spans="20:20" x14ac:dyDescent="0.25">
      <c r="T2219" s="1"/>
    </row>
    <row r="2220" spans="20:20" x14ac:dyDescent="0.25">
      <c r="T2220" s="1"/>
    </row>
    <row r="2221" spans="20:20" x14ac:dyDescent="0.25">
      <c r="T2221" s="1"/>
    </row>
    <row r="2222" spans="20:20" x14ac:dyDescent="0.25">
      <c r="T2222" s="1"/>
    </row>
    <row r="2223" spans="20:20" x14ac:dyDescent="0.25">
      <c r="T2223" s="1"/>
    </row>
    <row r="2224" spans="20:20" x14ac:dyDescent="0.25">
      <c r="T2224" s="1"/>
    </row>
    <row r="2225" spans="20:20" x14ac:dyDescent="0.25">
      <c r="T2225" s="1"/>
    </row>
    <row r="2226" spans="20:20" x14ac:dyDescent="0.25">
      <c r="T2226" s="1"/>
    </row>
    <row r="2227" spans="20:20" x14ac:dyDescent="0.25">
      <c r="T2227" s="1"/>
    </row>
    <row r="2228" spans="20:20" x14ac:dyDescent="0.25">
      <c r="T2228" s="1"/>
    </row>
    <row r="2229" spans="20:20" x14ac:dyDescent="0.25">
      <c r="T2229" s="1"/>
    </row>
    <row r="2230" spans="20:20" x14ac:dyDescent="0.25">
      <c r="T2230" s="1"/>
    </row>
    <row r="2231" spans="20:20" x14ac:dyDescent="0.25">
      <c r="T2231" s="1"/>
    </row>
    <row r="2232" spans="20:20" x14ac:dyDescent="0.25">
      <c r="T2232" s="1"/>
    </row>
    <row r="2233" spans="20:20" x14ac:dyDescent="0.25">
      <c r="T2233" s="1"/>
    </row>
    <row r="2234" spans="20:20" x14ac:dyDescent="0.25">
      <c r="T2234" s="1"/>
    </row>
    <row r="2235" spans="20:20" x14ac:dyDescent="0.25">
      <c r="T2235" s="1"/>
    </row>
    <row r="2236" spans="20:20" x14ac:dyDescent="0.25">
      <c r="T2236" s="1"/>
    </row>
    <row r="2237" spans="20:20" x14ac:dyDescent="0.25">
      <c r="T2237" s="1"/>
    </row>
    <row r="2238" spans="20:20" x14ac:dyDescent="0.25">
      <c r="T2238" s="1"/>
    </row>
    <row r="2239" spans="20:20" x14ac:dyDescent="0.25">
      <c r="T2239" s="1"/>
    </row>
    <row r="2240" spans="20:20" x14ac:dyDescent="0.25">
      <c r="T2240" s="1"/>
    </row>
    <row r="2241" spans="20:20" x14ac:dyDescent="0.25">
      <c r="T2241" s="1"/>
    </row>
    <row r="2242" spans="20:20" x14ac:dyDescent="0.25">
      <c r="T2242" s="1"/>
    </row>
    <row r="2243" spans="20:20" x14ac:dyDescent="0.25">
      <c r="T2243" s="1"/>
    </row>
    <row r="2244" spans="20:20" x14ac:dyDescent="0.25">
      <c r="T2244" s="1"/>
    </row>
    <row r="2245" spans="20:20" x14ac:dyDescent="0.25">
      <c r="T2245" s="1"/>
    </row>
    <row r="2246" spans="20:20" x14ac:dyDescent="0.25">
      <c r="T2246" s="1"/>
    </row>
    <row r="2247" spans="20:20" x14ac:dyDescent="0.25">
      <c r="T2247" s="1"/>
    </row>
    <row r="2248" spans="20:20" x14ac:dyDescent="0.25">
      <c r="T2248" s="1"/>
    </row>
    <row r="2249" spans="20:20" x14ac:dyDescent="0.25">
      <c r="T2249" s="1"/>
    </row>
    <row r="2250" spans="20:20" x14ac:dyDescent="0.25">
      <c r="T2250" s="1"/>
    </row>
    <row r="2251" spans="20:20" x14ac:dyDescent="0.25">
      <c r="T2251" s="1"/>
    </row>
    <row r="2252" spans="20:20" x14ac:dyDescent="0.25">
      <c r="T2252" s="1"/>
    </row>
    <row r="2253" spans="20:20" x14ac:dyDescent="0.25">
      <c r="T2253" s="1"/>
    </row>
    <row r="2254" spans="20:20" x14ac:dyDescent="0.25">
      <c r="T2254" s="1"/>
    </row>
    <row r="2255" spans="20:20" x14ac:dyDescent="0.25">
      <c r="T2255" s="1"/>
    </row>
    <row r="2256" spans="20:20" x14ac:dyDescent="0.25">
      <c r="T2256" s="1"/>
    </row>
    <row r="2257" spans="20:20" x14ac:dyDescent="0.25">
      <c r="T2257" s="1"/>
    </row>
    <row r="2258" spans="20:20" x14ac:dyDescent="0.25">
      <c r="T2258" s="1"/>
    </row>
    <row r="2259" spans="20:20" x14ac:dyDescent="0.25">
      <c r="T2259" s="1"/>
    </row>
    <row r="2260" spans="20:20" x14ac:dyDescent="0.25">
      <c r="T2260" s="1"/>
    </row>
    <row r="2261" spans="20:20" x14ac:dyDescent="0.25">
      <c r="T2261" s="1"/>
    </row>
    <row r="2262" spans="20:20" x14ac:dyDescent="0.25">
      <c r="T2262" s="1"/>
    </row>
    <row r="2263" spans="20:20" x14ac:dyDescent="0.25">
      <c r="T2263" s="1"/>
    </row>
    <row r="2264" spans="20:20" x14ac:dyDescent="0.25">
      <c r="T2264" s="1"/>
    </row>
    <row r="2265" spans="20:20" x14ac:dyDescent="0.25">
      <c r="T2265" s="1"/>
    </row>
    <row r="2266" spans="20:20" x14ac:dyDescent="0.25">
      <c r="T2266" s="1"/>
    </row>
    <row r="2267" spans="20:20" x14ac:dyDescent="0.25">
      <c r="T2267" s="1"/>
    </row>
    <row r="2268" spans="20:20" x14ac:dyDescent="0.25">
      <c r="T2268" s="1"/>
    </row>
    <row r="2269" spans="20:20" x14ac:dyDescent="0.25">
      <c r="T2269" s="1"/>
    </row>
    <row r="2270" spans="20:20" x14ac:dyDescent="0.25">
      <c r="T2270" s="1"/>
    </row>
    <row r="2271" spans="20:20" x14ac:dyDescent="0.25">
      <c r="T2271" s="1"/>
    </row>
    <row r="2272" spans="20:20" x14ac:dyDescent="0.25">
      <c r="T2272" s="1"/>
    </row>
    <row r="2273" spans="20:20" x14ac:dyDescent="0.25">
      <c r="T2273" s="1"/>
    </row>
    <row r="2274" spans="20:20" x14ac:dyDescent="0.25">
      <c r="T2274" s="1"/>
    </row>
    <row r="2275" spans="20:20" x14ac:dyDescent="0.25">
      <c r="T2275" s="1"/>
    </row>
    <row r="2276" spans="20:20" x14ac:dyDescent="0.25">
      <c r="T2276" s="1"/>
    </row>
    <row r="2277" spans="20:20" x14ac:dyDescent="0.25">
      <c r="T2277" s="1"/>
    </row>
    <row r="2278" spans="20:20" x14ac:dyDescent="0.25">
      <c r="T2278" s="1"/>
    </row>
    <row r="2279" spans="20:20" x14ac:dyDescent="0.25">
      <c r="T2279" s="1"/>
    </row>
    <row r="2280" spans="20:20" x14ac:dyDescent="0.25">
      <c r="T2280" s="1"/>
    </row>
    <row r="2281" spans="20:20" x14ac:dyDescent="0.25">
      <c r="T2281" s="1"/>
    </row>
    <row r="2282" spans="20:20" x14ac:dyDescent="0.25">
      <c r="T2282" s="1"/>
    </row>
    <row r="2283" spans="20:20" x14ac:dyDescent="0.25">
      <c r="T2283" s="1"/>
    </row>
    <row r="2284" spans="20:20" x14ac:dyDescent="0.25">
      <c r="T2284" s="1"/>
    </row>
    <row r="2285" spans="20:20" x14ac:dyDescent="0.25">
      <c r="T2285" s="1"/>
    </row>
    <row r="2286" spans="20:20" x14ac:dyDescent="0.25">
      <c r="T2286" s="1"/>
    </row>
    <row r="2287" spans="20:20" x14ac:dyDescent="0.25">
      <c r="T2287" s="1"/>
    </row>
    <row r="2288" spans="20:20" x14ac:dyDescent="0.25">
      <c r="T2288" s="1"/>
    </row>
    <row r="2289" spans="20:20" x14ac:dyDescent="0.25">
      <c r="T2289" s="1"/>
    </row>
    <row r="2290" spans="20:20" x14ac:dyDescent="0.25">
      <c r="T2290" s="1"/>
    </row>
    <row r="2291" spans="20:20" x14ac:dyDescent="0.25">
      <c r="T2291" s="1"/>
    </row>
    <row r="2292" spans="20:20" x14ac:dyDescent="0.25">
      <c r="T2292" s="1"/>
    </row>
    <row r="2293" spans="20:20" x14ac:dyDescent="0.25">
      <c r="T2293" s="1"/>
    </row>
    <row r="2294" spans="20:20" x14ac:dyDescent="0.25">
      <c r="T2294" s="1"/>
    </row>
    <row r="2295" spans="20:20" x14ac:dyDescent="0.25">
      <c r="T2295" s="1"/>
    </row>
    <row r="2296" spans="20:20" x14ac:dyDescent="0.25">
      <c r="T2296" s="1"/>
    </row>
    <row r="2297" spans="20:20" x14ac:dyDescent="0.25">
      <c r="T2297" s="1"/>
    </row>
    <row r="2298" spans="20:20" x14ac:dyDescent="0.25">
      <c r="T2298" s="1"/>
    </row>
    <row r="2299" spans="20:20" x14ac:dyDescent="0.25">
      <c r="T2299" s="1"/>
    </row>
    <row r="2300" spans="20:20" x14ac:dyDescent="0.25">
      <c r="T2300" s="1"/>
    </row>
    <row r="2301" spans="20:20" x14ac:dyDescent="0.25">
      <c r="T2301" s="1"/>
    </row>
    <row r="2302" spans="20:20" x14ac:dyDescent="0.25">
      <c r="T2302" s="1"/>
    </row>
    <row r="2303" spans="20:20" x14ac:dyDescent="0.25">
      <c r="T2303" s="1"/>
    </row>
    <row r="2304" spans="20:20" x14ac:dyDescent="0.25">
      <c r="T2304" s="1"/>
    </row>
    <row r="2305" spans="20:20" x14ac:dyDescent="0.25">
      <c r="T2305" s="1"/>
    </row>
    <row r="2306" spans="20:20" x14ac:dyDescent="0.25">
      <c r="T2306" s="1"/>
    </row>
    <row r="2307" spans="20:20" x14ac:dyDescent="0.25">
      <c r="T2307" s="1"/>
    </row>
    <row r="2308" spans="20:20" x14ac:dyDescent="0.25">
      <c r="T2308" s="1"/>
    </row>
    <row r="2309" spans="20:20" x14ac:dyDescent="0.25">
      <c r="T2309" s="1"/>
    </row>
    <row r="2310" spans="20:20" x14ac:dyDescent="0.25">
      <c r="T2310" s="1"/>
    </row>
    <row r="2311" spans="20:20" x14ac:dyDescent="0.25">
      <c r="T2311" s="1"/>
    </row>
    <row r="2312" spans="20:20" x14ac:dyDescent="0.25">
      <c r="T2312" s="1"/>
    </row>
    <row r="2313" spans="20:20" x14ac:dyDescent="0.25">
      <c r="T2313" s="1"/>
    </row>
    <row r="2314" spans="20:20" x14ac:dyDescent="0.25">
      <c r="T2314" s="1"/>
    </row>
    <row r="2315" spans="20:20" x14ac:dyDescent="0.25">
      <c r="T2315" s="1"/>
    </row>
    <row r="2316" spans="20:20" x14ac:dyDescent="0.25">
      <c r="T2316" s="1"/>
    </row>
    <row r="2317" spans="20:20" x14ac:dyDescent="0.25">
      <c r="T2317" s="1"/>
    </row>
    <row r="2318" spans="20:20" x14ac:dyDescent="0.25">
      <c r="T2318" s="1"/>
    </row>
    <row r="2319" spans="20:20" x14ac:dyDescent="0.25">
      <c r="T2319" s="1"/>
    </row>
    <row r="2320" spans="20:20" x14ac:dyDescent="0.25">
      <c r="T2320" s="1"/>
    </row>
    <row r="2321" spans="20:20" x14ac:dyDescent="0.25">
      <c r="T2321" s="1"/>
    </row>
    <row r="2322" spans="20:20" x14ac:dyDescent="0.25">
      <c r="T2322" s="1"/>
    </row>
    <row r="2323" spans="20:20" x14ac:dyDescent="0.25">
      <c r="T2323" s="1"/>
    </row>
    <row r="2324" spans="20:20" x14ac:dyDescent="0.25">
      <c r="T2324" s="1"/>
    </row>
    <row r="2325" spans="20:20" x14ac:dyDescent="0.25">
      <c r="T2325" s="1"/>
    </row>
    <row r="2326" spans="20:20" x14ac:dyDescent="0.25">
      <c r="T2326" s="1"/>
    </row>
    <row r="2327" spans="20:20" x14ac:dyDescent="0.25">
      <c r="T2327" s="1"/>
    </row>
    <row r="2328" spans="20:20" x14ac:dyDescent="0.25">
      <c r="T2328" s="1"/>
    </row>
    <row r="2329" spans="20:20" x14ac:dyDescent="0.25">
      <c r="T2329" s="1"/>
    </row>
    <row r="2330" spans="20:20" x14ac:dyDescent="0.25">
      <c r="T2330" s="1"/>
    </row>
    <row r="2331" spans="20:20" x14ac:dyDescent="0.25">
      <c r="T2331" s="1"/>
    </row>
    <row r="2332" spans="20:20" x14ac:dyDescent="0.25">
      <c r="T2332" s="1"/>
    </row>
    <row r="2333" spans="20:20" x14ac:dyDescent="0.25">
      <c r="T2333" s="1"/>
    </row>
    <row r="2334" spans="20:20" x14ac:dyDescent="0.25">
      <c r="T2334" s="1"/>
    </row>
    <row r="2335" spans="20:20" x14ac:dyDescent="0.25">
      <c r="T2335" s="1"/>
    </row>
    <row r="2336" spans="20:20" x14ac:dyDescent="0.25">
      <c r="T2336" s="1"/>
    </row>
    <row r="2337" spans="20:20" x14ac:dyDescent="0.25">
      <c r="T2337" s="1"/>
    </row>
    <row r="2338" spans="20:20" x14ac:dyDescent="0.25">
      <c r="T2338" s="1"/>
    </row>
    <row r="2339" spans="20:20" x14ac:dyDescent="0.25">
      <c r="T2339" s="1"/>
    </row>
    <row r="2340" spans="20:20" x14ac:dyDescent="0.25">
      <c r="T2340" s="1"/>
    </row>
    <row r="2341" spans="20:20" x14ac:dyDescent="0.25">
      <c r="T2341" s="1"/>
    </row>
    <row r="2342" spans="20:20" x14ac:dyDescent="0.25">
      <c r="T2342" s="1"/>
    </row>
    <row r="2343" spans="20:20" x14ac:dyDescent="0.25">
      <c r="T2343" s="1"/>
    </row>
    <row r="2344" spans="20:20" x14ac:dyDescent="0.25">
      <c r="T2344" s="1"/>
    </row>
    <row r="2345" spans="20:20" x14ac:dyDescent="0.25">
      <c r="T2345" s="1"/>
    </row>
    <row r="2346" spans="20:20" x14ac:dyDescent="0.25">
      <c r="T2346" s="1"/>
    </row>
    <row r="2347" spans="20:20" x14ac:dyDescent="0.25">
      <c r="T2347" s="1"/>
    </row>
    <row r="2348" spans="20:20" x14ac:dyDescent="0.25">
      <c r="T2348" s="1"/>
    </row>
    <row r="2349" spans="20:20" x14ac:dyDescent="0.25">
      <c r="T2349" s="1"/>
    </row>
    <row r="2350" spans="20:20" x14ac:dyDescent="0.25">
      <c r="T2350" s="1"/>
    </row>
    <row r="2351" spans="20:20" x14ac:dyDescent="0.25">
      <c r="T2351" s="1"/>
    </row>
    <row r="2352" spans="20:20" x14ac:dyDescent="0.25">
      <c r="T2352" s="1"/>
    </row>
    <row r="2353" spans="20:20" x14ac:dyDescent="0.25">
      <c r="T2353" s="1"/>
    </row>
    <row r="2354" spans="20:20" x14ac:dyDescent="0.25">
      <c r="T2354" s="1"/>
    </row>
    <row r="2355" spans="20:20" x14ac:dyDescent="0.25">
      <c r="T2355" s="1"/>
    </row>
    <row r="2356" spans="20:20" x14ac:dyDescent="0.25">
      <c r="T2356" s="1"/>
    </row>
    <row r="2357" spans="20:20" x14ac:dyDescent="0.25">
      <c r="T2357" s="1"/>
    </row>
    <row r="2358" spans="20:20" x14ac:dyDescent="0.25">
      <c r="T2358" s="1"/>
    </row>
    <row r="2359" spans="20:20" x14ac:dyDescent="0.25">
      <c r="T2359" s="1"/>
    </row>
    <row r="2360" spans="20:20" x14ac:dyDescent="0.25">
      <c r="T2360" s="1"/>
    </row>
    <row r="2361" spans="20:20" x14ac:dyDescent="0.25">
      <c r="T2361" s="1"/>
    </row>
    <row r="2362" spans="20:20" x14ac:dyDescent="0.25">
      <c r="T2362" s="1"/>
    </row>
    <row r="2363" spans="20:20" x14ac:dyDescent="0.25">
      <c r="T2363" s="1"/>
    </row>
    <row r="2364" spans="20:20" x14ac:dyDescent="0.25">
      <c r="T2364" s="1"/>
    </row>
    <row r="2365" spans="20:20" x14ac:dyDescent="0.25">
      <c r="T2365" s="1"/>
    </row>
    <row r="2366" spans="20:20" x14ac:dyDescent="0.25">
      <c r="T2366" s="1"/>
    </row>
    <row r="2367" spans="20:20" x14ac:dyDescent="0.25">
      <c r="T2367" s="1"/>
    </row>
    <row r="2368" spans="20:20" x14ac:dyDescent="0.25">
      <c r="T2368" s="1"/>
    </row>
    <row r="2369" spans="20:20" x14ac:dyDescent="0.25">
      <c r="T2369" s="1"/>
    </row>
    <row r="2370" spans="20:20" x14ac:dyDescent="0.25">
      <c r="T2370" s="1"/>
    </row>
    <row r="2371" spans="20:20" x14ac:dyDescent="0.25">
      <c r="T2371" s="1"/>
    </row>
    <row r="2372" spans="20:20" x14ac:dyDescent="0.25">
      <c r="T2372" s="1"/>
    </row>
    <row r="2373" spans="20:20" x14ac:dyDescent="0.25">
      <c r="T2373" s="1"/>
    </row>
    <row r="2374" spans="20:20" x14ac:dyDescent="0.25">
      <c r="T2374" s="1"/>
    </row>
    <row r="2375" spans="20:20" x14ac:dyDescent="0.25">
      <c r="T2375" s="1"/>
    </row>
    <row r="2376" spans="20:20" x14ac:dyDescent="0.25">
      <c r="T2376" s="1"/>
    </row>
    <row r="2377" spans="20:20" x14ac:dyDescent="0.25">
      <c r="T2377" s="1"/>
    </row>
    <row r="2378" spans="20:20" x14ac:dyDescent="0.25">
      <c r="T2378" s="1"/>
    </row>
    <row r="2379" spans="20:20" x14ac:dyDescent="0.25">
      <c r="T2379" s="1"/>
    </row>
    <row r="2380" spans="20:20" x14ac:dyDescent="0.25">
      <c r="T2380" s="1"/>
    </row>
    <row r="2381" spans="20:20" x14ac:dyDescent="0.25">
      <c r="T2381" s="1"/>
    </row>
    <row r="2382" spans="20:20" x14ac:dyDescent="0.25">
      <c r="T2382" s="1"/>
    </row>
    <row r="2383" spans="20:20" x14ac:dyDescent="0.25">
      <c r="T2383" s="1"/>
    </row>
    <row r="2384" spans="20:20" x14ac:dyDescent="0.25">
      <c r="T2384" s="1"/>
    </row>
    <row r="2385" spans="20:20" x14ac:dyDescent="0.25">
      <c r="T2385" s="1"/>
    </row>
    <row r="2386" spans="20:20" x14ac:dyDescent="0.25">
      <c r="T2386" s="1"/>
    </row>
    <row r="2387" spans="20:20" x14ac:dyDescent="0.25">
      <c r="T2387" s="1"/>
    </row>
    <row r="2388" spans="20:20" x14ac:dyDescent="0.25">
      <c r="T2388" s="1"/>
    </row>
    <row r="2389" spans="20:20" x14ac:dyDescent="0.25">
      <c r="T2389" s="1"/>
    </row>
    <row r="2390" spans="20:20" x14ac:dyDescent="0.25">
      <c r="T2390" s="1"/>
    </row>
    <row r="2391" spans="20:20" x14ac:dyDescent="0.25">
      <c r="T2391" s="1"/>
    </row>
    <row r="2392" spans="20:20" x14ac:dyDescent="0.25">
      <c r="T2392" s="1"/>
    </row>
    <row r="2393" spans="20:20" x14ac:dyDescent="0.25">
      <c r="T2393" s="1"/>
    </row>
    <row r="2394" spans="20:20" x14ac:dyDescent="0.25">
      <c r="T2394" s="1"/>
    </row>
    <row r="2395" spans="20:20" x14ac:dyDescent="0.25">
      <c r="T2395" s="1"/>
    </row>
    <row r="2396" spans="20:20" x14ac:dyDescent="0.25">
      <c r="T2396" s="1"/>
    </row>
    <row r="2397" spans="20:20" x14ac:dyDescent="0.25">
      <c r="T2397" s="1"/>
    </row>
    <row r="2398" spans="20:20" x14ac:dyDescent="0.25">
      <c r="T2398" s="1"/>
    </row>
    <row r="2399" spans="20:20" x14ac:dyDescent="0.25">
      <c r="T2399" s="1"/>
    </row>
    <row r="2400" spans="20:20" x14ac:dyDescent="0.25">
      <c r="T2400" s="1"/>
    </row>
    <row r="2401" spans="20:20" x14ac:dyDescent="0.25">
      <c r="T2401" s="1"/>
    </row>
    <row r="2402" spans="20:20" x14ac:dyDescent="0.25">
      <c r="T2402" s="1"/>
    </row>
    <row r="2403" spans="20:20" x14ac:dyDescent="0.25">
      <c r="T2403" s="1"/>
    </row>
    <row r="2404" spans="20:20" x14ac:dyDescent="0.25">
      <c r="T2404" s="1"/>
    </row>
    <row r="2405" spans="20:20" x14ac:dyDescent="0.25">
      <c r="T2405" s="1"/>
    </row>
    <row r="2406" spans="20:20" x14ac:dyDescent="0.25">
      <c r="T2406" s="1"/>
    </row>
    <row r="2407" spans="20:20" x14ac:dyDescent="0.25">
      <c r="T2407" s="1"/>
    </row>
    <row r="2408" spans="20:20" x14ac:dyDescent="0.25">
      <c r="T2408" s="1"/>
    </row>
    <row r="2409" spans="20:20" x14ac:dyDescent="0.25">
      <c r="T2409" s="1"/>
    </row>
    <row r="2410" spans="20:20" x14ac:dyDescent="0.25">
      <c r="T2410" s="1"/>
    </row>
    <row r="2411" spans="20:20" x14ac:dyDescent="0.25">
      <c r="T2411" s="1"/>
    </row>
    <row r="2412" spans="20:20" x14ac:dyDescent="0.25">
      <c r="T2412" s="1"/>
    </row>
    <row r="2413" spans="20:20" x14ac:dyDescent="0.25">
      <c r="T2413" s="1"/>
    </row>
    <row r="2414" spans="20:20" x14ac:dyDescent="0.25">
      <c r="T2414" s="1"/>
    </row>
    <row r="2415" spans="20:20" x14ac:dyDescent="0.25">
      <c r="T2415" s="1"/>
    </row>
    <row r="2416" spans="20:20" x14ac:dyDescent="0.25">
      <c r="T2416" s="1"/>
    </row>
    <row r="2417" spans="20:20" x14ac:dyDescent="0.25">
      <c r="T2417" s="1"/>
    </row>
    <row r="2418" spans="20:20" x14ac:dyDescent="0.25">
      <c r="T2418" s="1"/>
    </row>
    <row r="2419" spans="20:20" x14ac:dyDescent="0.25">
      <c r="T2419" s="1"/>
    </row>
    <row r="2420" spans="20:20" x14ac:dyDescent="0.25">
      <c r="T2420" s="1"/>
    </row>
    <row r="2421" spans="20:20" x14ac:dyDescent="0.25">
      <c r="T2421" s="1"/>
    </row>
    <row r="2422" spans="20:20" x14ac:dyDescent="0.25">
      <c r="T2422" s="1"/>
    </row>
    <row r="2423" spans="20:20" x14ac:dyDescent="0.25">
      <c r="T2423" s="1"/>
    </row>
    <row r="2424" spans="20:20" x14ac:dyDescent="0.25">
      <c r="T2424" s="1"/>
    </row>
    <row r="2425" spans="20:20" x14ac:dyDescent="0.25">
      <c r="T2425" s="1"/>
    </row>
    <row r="2426" spans="20:20" x14ac:dyDescent="0.25">
      <c r="T2426" s="1"/>
    </row>
    <row r="2427" spans="20:20" x14ac:dyDescent="0.25">
      <c r="T2427" s="1"/>
    </row>
    <row r="2428" spans="20:20" x14ac:dyDescent="0.25">
      <c r="T2428" s="1"/>
    </row>
    <row r="2429" spans="20:20" x14ac:dyDescent="0.25">
      <c r="T2429" s="1"/>
    </row>
    <row r="2430" spans="20:20" x14ac:dyDescent="0.25">
      <c r="T2430" s="1"/>
    </row>
    <row r="2431" spans="20:20" x14ac:dyDescent="0.25">
      <c r="T2431" s="1"/>
    </row>
    <row r="2432" spans="20:20" x14ac:dyDescent="0.25">
      <c r="T2432" s="1"/>
    </row>
    <row r="2433" spans="20:20" x14ac:dyDescent="0.25">
      <c r="T2433" s="1"/>
    </row>
    <row r="2434" spans="20:20" x14ac:dyDescent="0.25">
      <c r="T2434" s="1"/>
    </row>
    <row r="2435" spans="20:20" x14ac:dyDescent="0.25">
      <c r="T2435" s="1"/>
    </row>
    <row r="2436" spans="20:20" x14ac:dyDescent="0.25">
      <c r="T2436" s="1"/>
    </row>
    <row r="2437" spans="20:20" x14ac:dyDescent="0.25">
      <c r="T2437" s="1"/>
    </row>
    <row r="2438" spans="20:20" x14ac:dyDescent="0.25">
      <c r="T2438" s="1"/>
    </row>
    <row r="2439" spans="20:20" x14ac:dyDescent="0.25">
      <c r="T2439" s="1"/>
    </row>
    <row r="2440" spans="20:20" x14ac:dyDescent="0.25">
      <c r="T2440" s="1"/>
    </row>
    <row r="2441" spans="20:20" x14ac:dyDescent="0.25">
      <c r="T2441" s="1"/>
    </row>
    <row r="2442" spans="20:20" x14ac:dyDescent="0.25">
      <c r="T2442" s="1"/>
    </row>
    <row r="2443" spans="20:20" x14ac:dyDescent="0.25">
      <c r="T2443" s="1"/>
    </row>
    <row r="2444" spans="20:20" x14ac:dyDescent="0.25">
      <c r="T2444" s="1"/>
    </row>
    <row r="2445" spans="20:20" x14ac:dyDescent="0.25">
      <c r="T2445" s="1"/>
    </row>
    <row r="2446" spans="20:20" x14ac:dyDescent="0.25">
      <c r="T2446" s="1"/>
    </row>
    <row r="2447" spans="20:20" x14ac:dyDescent="0.25">
      <c r="T2447" s="1"/>
    </row>
    <row r="2448" spans="20:20" x14ac:dyDescent="0.25">
      <c r="T2448" s="1"/>
    </row>
    <row r="2449" spans="20:20" x14ac:dyDescent="0.25">
      <c r="T2449" s="1"/>
    </row>
    <row r="2450" spans="20:20" x14ac:dyDescent="0.25">
      <c r="T2450" s="1"/>
    </row>
    <row r="2451" spans="20:20" x14ac:dyDescent="0.25">
      <c r="T2451" s="1"/>
    </row>
    <row r="2452" spans="20:20" x14ac:dyDescent="0.25">
      <c r="T2452" s="1"/>
    </row>
    <row r="2453" spans="20:20" x14ac:dyDescent="0.25">
      <c r="T2453" s="1"/>
    </row>
    <row r="2454" spans="20:20" x14ac:dyDescent="0.25">
      <c r="T2454" s="1"/>
    </row>
    <row r="2455" spans="20:20" x14ac:dyDescent="0.25">
      <c r="T2455" s="1"/>
    </row>
    <row r="2456" spans="20:20" x14ac:dyDescent="0.25">
      <c r="T2456" s="1"/>
    </row>
    <row r="2457" spans="20:20" x14ac:dyDescent="0.25">
      <c r="T2457" s="1"/>
    </row>
    <row r="2458" spans="20:20" x14ac:dyDescent="0.25">
      <c r="T2458" s="1"/>
    </row>
    <row r="2459" spans="20:20" x14ac:dyDescent="0.25">
      <c r="T2459" s="1"/>
    </row>
    <row r="2460" spans="20:20" x14ac:dyDescent="0.25">
      <c r="T2460" s="1"/>
    </row>
    <row r="2461" spans="20:20" x14ac:dyDescent="0.25">
      <c r="T2461" s="1"/>
    </row>
    <row r="2462" spans="20:20" x14ac:dyDescent="0.25">
      <c r="T2462" s="1"/>
    </row>
    <row r="2463" spans="20:20" x14ac:dyDescent="0.25">
      <c r="T2463" s="1"/>
    </row>
    <row r="2464" spans="20:20" x14ac:dyDescent="0.25">
      <c r="T2464" s="1"/>
    </row>
    <row r="2465" spans="20:20" x14ac:dyDescent="0.25">
      <c r="T2465" s="1"/>
    </row>
    <row r="2466" spans="20:20" x14ac:dyDescent="0.25">
      <c r="T2466" s="1"/>
    </row>
    <row r="2467" spans="20:20" x14ac:dyDescent="0.25">
      <c r="T2467" s="1"/>
    </row>
    <row r="2468" spans="20:20" x14ac:dyDescent="0.25">
      <c r="T2468" s="1"/>
    </row>
    <row r="2469" spans="20:20" x14ac:dyDescent="0.25">
      <c r="T2469" s="1"/>
    </row>
    <row r="2470" spans="20:20" x14ac:dyDescent="0.25">
      <c r="T2470" s="1"/>
    </row>
    <row r="2471" spans="20:20" x14ac:dyDescent="0.25">
      <c r="T2471" s="1"/>
    </row>
    <row r="2472" spans="20:20" x14ac:dyDescent="0.25">
      <c r="T2472" s="1"/>
    </row>
    <row r="2473" spans="20:20" x14ac:dyDescent="0.25">
      <c r="T2473" s="1"/>
    </row>
    <row r="2474" spans="20:20" x14ac:dyDescent="0.25">
      <c r="T2474" s="1"/>
    </row>
    <row r="2475" spans="20:20" x14ac:dyDescent="0.25">
      <c r="T2475" s="1"/>
    </row>
    <row r="2476" spans="20:20" x14ac:dyDescent="0.25">
      <c r="T2476" s="1"/>
    </row>
    <row r="2477" spans="20:20" x14ac:dyDescent="0.25">
      <c r="T2477" s="1"/>
    </row>
    <row r="2478" spans="20:20" x14ac:dyDescent="0.25">
      <c r="T2478" s="1"/>
    </row>
    <row r="2479" spans="20:20" x14ac:dyDescent="0.25">
      <c r="T2479" s="1"/>
    </row>
    <row r="2480" spans="20:20" x14ac:dyDescent="0.25">
      <c r="T2480" s="1"/>
    </row>
    <row r="2481" spans="20:20" x14ac:dyDescent="0.25">
      <c r="T2481" s="1"/>
    </row>
    <row r="2482" spans="20:20" x14ac:dyDescent="0.25">
      <c r="T2482" s="1"/>
    </row>
    <row r="2483" spans="20:20" x14ac:dyDescent="0.25">
      <c r="T2483" s="1"/>
    </row>
    <row r="2484" spans="20:20" x14ac:dyDescent="0.25">
      <c r="T2484" s="1"/>
    </row>
    <row r="2485" spans="20:20" x14ac:dyDescent="0.25">
      <c r="T2485" s="1"/>
    </row>
    <row r="2486" spans="20:20" x14ac:dyDescent="0.25">
      <c r="T2486" s="1"/>
    </row>
    <row r="2487" spans="20:20" x14ac:dyDescent="0.25">
      <c r="T2487" s="1"/>
    </row>
    <row r="2488" spans="20:20" x14ac:dyDescent="0.25">
      <c r="T2488" s="1"/>
    </row>
    <row r="2489" spans="20:20" x14ac:dyDescent="0.25">
      <c r="T2489" s="1"/>
    </row>
    <row r="2490" spans="20:20" x14ac:dyDescent="0.25">
      <c r="T2490" s="1"/>
    </row>
    <row r="2491" spans="20:20" x14ac:dyDescent="0.25">
      <c r="T2491" s="1"/>
    </row>
    <row r="2492" spans="20:20" x14ac:dyDescent="0.25">
      <c r="T2492" s="1"/>
    </row>
    <row r="2493" spans="20:20" x14ac:dyDescent="0.25">
      <c r="T2493" s="1"/>
    </row>
    <row r="2494" spans="20:20" x14ac:dyDescent="0.25">
      <c r="T2494" s="1"/>
    </row>
    <row r="2495" spans="20:20" x14ac:dyDescent="0.25">
      <c r="T2495" s="1"/>
    </row>
    <row r="2496" spans="20:20" x14ac:dyDescent="0.25">
      <c r="T2496" s="1"/>
    </row>
    <row r="2497" spans="20:20" x14ac:dyDescent="0.25">
      <c r="T2497" s="1"/>
    </row>
    <row r="2498" spans="20:20" x14ac:dyDescent="0.25">
      <c r="T2498" s="1"/>
    </row>
    <row r="2499" spans="20:20" x14ac:dyDescent="0.25">
      <c r="T2499" s="1"/>
    </row>
    <row r="2500" spans="20:20" x14ac:dyDescent="0.25">
      <c r="T2500" s="1"/>
    </row>
    <row r="2501" spans="20:20" x14ac:dyDescent="0.25">
      <c r="T2501" s="1"/>
    </row>
    <row r="2502" spans="20:20" x14ac:dyDescent="0.25">
      <c r="T2502" s="1"/>
    </row>
    <row r="2503" spans="20:20" x14ac:dyDescent="0.25">
      <c r="T2503" s="1"/>
    </row>
    <row r="2504" spans="20:20" x14ac:dyDescent="0.25">
      <c r="T2504" s="1"/>
    </row>
    <row r="2505" spans="20:20" x14ac:dyDescent="0.25">
      <c r="T2505" s="1"/>
    </row>
    <row r="2506" spans="20:20" x14ac:dyDescent="0.25">
      <c r="T2506" s="1"/>
    </row>
    <row r="2507" spans="20:20" x14ac:dyDescent="0.25">
      <c r="T2507" s="1"/>
    </row>
    <row r="2508" spans="20:20" x14ac:dyDescent="0.25">
      <c r="T2508" s="1"/>
    </row>
    <row r="2509" spans="20:20" x14ac:dyDescent="0.25">
      <c r="T2509" s="1"/>
    </row>
    <row r="2510" spans="20:20" x14ac:dyDescent="0.25">
      <c r="T2510" s="1"/>
    </row>
    <row r="2511" spans="20:20" x14ac:dyDescent="0.25">
      <c r="T2511" s="1"/>
    </row>
    <row r="2512" spans="20:20" x14ac:dyDescent="0.25">
      <c r="T2512" s="1"/>
    </row>
    <row r="2513" spans="20:20" x14ac:dyDescent="0.25">
      <c r="T2513" s="1"/>
    </row>
    <row r="2514" spans="20:20" x14ac:dyDescent="0.25">
      <c r="T2514" s="1"/>
    </row>
    <row r="2515" spans="20:20" x14ac:dyDescent="0.25">
      <c r="T2515" s="1"/>
    </row>
    <row r="2516" spans="20:20" x14ac:dyDescent="0.25">
      <c r="T2516" s="1"/>
    </row>
    <row r="2517" spans="20:20" x14ac:dyDescent="0.25">
      <c r="T2517" s="1"/>
    </row>
    <row r="2518" spans="20:20" x14ac:dyDescent="0.25">
      <c r="T2518" s="1"/>
    </row>
    <row r="2519" spans="20:20" x14ac:dyDescent="0.25">
      <c r="T2519" s="1"/>
    </row>
    <row r="2520" spans="20:20" x14ac:dyDescent="0.25">
      <c r="T2520" s="1"/>
    </row>
    <row r="2521" spans="20:20" x14ac:dyDescent="0.25">
      <c r="T2521" s="1"/>
    </row>
    <row r="2522" spans="20:20" x14ac:dyDescent="0.25">
      <c r="T2522" s="1"/>
    </row>
    <row r="2523" spans="20:20" x14ac:dyDescent="0.25">
      <c r="T2523" s="1"/>
    </row>
    <row r="2524" spans="20:20" x14ac:dyDescent="0.25">
      <c r="T2524" s="1"/>
    </row>
    <row r="2525" spans="20:20" x14ac:dyDescent="0.25">
      <c r="T2525" s="1"/>
    </row>
    <row r="2526" spans="20:20" x14ac:dyDescent="0.25">
      <c r="T2526" s="1"/>
    </row>
    <row r="2527" spans="20:20" x14ac:dyDescent="0.25">
      <c r="T2527" s="1"/>
    </row>
    <row r="2528" spans="20:20" x14ac:dyDescent="0.25">
      <c r="T2528" s="1"/>
    </row>
    <row r="2529" spans="20:20" x14ac:dyDescent="0.25">
      <c r="T2529" s="1"/>
    </row>
    <row r="2530" spans="20:20" x14ac:dyDescent="0.25">
      <c r="T2530" s="1"/>
    </row>
    <row r="2531" spans="20:20" x14ac:dyDescent="0.25">
      <c r="T2531" s="1"/>
    </row>
    <row r="2532" spans="20:20" x14ac:dyDescent="0.25">
      <c r="T2532" s="1"/>
    </row>
    <row r="2533" spans="20:20" x14ac:dyDescent="0.25">
      <c r="T2533" s="1"/>
    </row>
    <row r="2534" spans="20:20" x14ac:dyDescent="0.25">
      <c r="T2534" s="1"/>
    </row>
    <row r="2535" spans="20:20" x14ac:dyDescent="0.25">
      <c r="T2535" s="1"/>
    </row>
    <row r="2536" spans="20:20" x14ac:dyDescent="0.25">
      <c r="T2536" s="1"/>
    </row>
    <row r="2537" spans="20:20" x14ac:dyDescent="0.25">
      <c r="T2537" s="1"/>
    </row>
    <row r="2538" spans="20:20" x14ac:dyDescent="0.25">
      <c r="T2538" s="1"/>
    </row>
    <row r="2539" spans="20:20" x14ac:dyDescent="0.25">
      <c r="T2539" s="1"/>
    </row>
    <row r="2540" spans="20:20" x14ac:dyDescent="0.25">
      <c r="T2540" s="1"/>
    </row>
    <row r="2541" spans="20:20" x14ac:dyDescent="0.25">
      <c r="T2541" s="1"/>
    </row>
    <row r="2542" spans="20:20" x14ac:dyDescent="0.25">
      <c r="T2542" s="1"/>
    </row>
    <row r="2543" spans="20:20" x14ac:dyDescent="0.25">
      <c r="T2543" s="1"/>
    </row>
    <row r="2544" spans="20:20" x14ac:dyDescent="0.25">
      <c r="T2544" s="1"/>
    </row>
    <row r="2545" spans="20:20" x14ac:dyDescent="0.25">
      <c r="T2545" s="1"/>
    </row>
    <row r="2546" spans="20:20" x14ac:dyDescent="0.25">
      <c r="T2546" s="1"/>
    </row>
    <row r="2547" spans="20:20" x14ac:dyDescent="0.25">
      <c r="T2547" s="1"/>
    </row>
    <row r="2548" spans="20:20" x14ac:dyDescent="0.25">
      <c r="T2548" s="1"/>
    </row>
    <row r="2549" spans="20:20" x14ac:dyDescent="0.25">
      <c r="T2549" s="1"/>
    </row>
    <row r="2550" spans="20:20" x14ac:dyDescent="0.25">
      <c r="T2550" s="1"/>
    </row>
    <row r="2551" spans="20:20" x14ac:dyDescent="0.25">
      <c r="T2551" s="1"/>
    </row>
    <row r="2552" spans="20:20" x14ac:dyDescent="0.25">
      <c r="T2552" s="1"/>
    </row>
    <row r="2553" spans="20:20" x14ac:dyDescent="0.25">
      <c r="T2553" s="1"/>
    </row>
    <row r="2554" spans="20:20" x14ac:dyDescent="0.25">
      <c r="T2554" s="1"/>
    </row>
    <row r="2555" spans="20:20" x14ac:dyDescent="0.25">
      <c r="T2555" s="1"/>
    </row>
    <row r="2556" spans="20:20" x14ac:dyDescent="0.25">
      <c r="T2556" s="1"/>
    </row>
    <row r="2557" spans="20:20" x14ac:dyDescent="0.25">
      <c r="T2557" s="1"/>
    </row>
    <row r="2558" spans="20:20" x14ac:dyDescent="0.25">
      <c r="T2558" s="1"/>
    </row>
    <row r="2559" spans="20:20" x14ac:dyDescent="0.25">
      <c r="T2559" s="1"/>
    </row>
    <row r="2560" spans="20:20" x14ac:dyDescent="0.25">
      <c r="T2560" s="1"/>
    </row>
    <row r="2561" spans="20:20" x14ac:dyDescent="0.25">
      <c r="T2561" s="1"/>
    </row>
    <row r="2562" spans="20:20" x14ac:dyDescent="0.25">
      <c r="T2562" s="1"/>
    </row>
    <row r="2563" spans="20:20" x14ac:dyDescent="0.25">
      <c r="T2563" s="1"/>
    </row>
    <row r="2564" spans="20:20" x14ac:dyDescent="0.25">
      <c r="T2564" s="1"/>
    </row>
    <row r="2565" spans="20:20" x14ac:dyDescent="0.25">
      <c r="T2565" s="1"/>
    </row>
    <row r="2566" spans="20:20" x14ac:dyDescent="0.25">
      <c r="T2566" s="1"/>
    </row>
    <row r="2567" spans="20:20" x14ac:dyDescent="0.25">
      <c r="T2567" s="1"/>
    </row>
    <row r="2568" spans="20:20" x14ac:dyDescent="0.25">
      <c r="T2568" s="1"/>
    </row>
    <row r="2569" spans="20:20" x14ac:dyDescent="0.25">
      <c r="T2569" s="1"/>
    </row>
    <row r="2570" spans="20:20" x14ac:dyDescent="0.25">
      <c r="T2570" s="1"/>
    </row>
    <row r="2571" spans="20:20" x14ac:dyDescent="0.25">
      <c r="T2571" s="1"/>
    </row>
    <row r="2572" spans="20:20" x14ac:dyDescent="0.25">
      <c r="T2572" s="1"/>
    </row>
    <row r="2573" spans="20:20" x14ac:dyDescent="0.25">
      <c r="T2573" s="1"/>
    </row>
    <row r="2574" spans="20:20" x14ac:dyDescent="0.25">
      <c r="T2574" s="1"/>
    </row>
    <row r="2575" spans="20:20" x14ac:dyDescent="0.25">
      <c r="T2575" s="1"/>
    </row>
    <row r="2576" spans="20:20" x14ac:dyDescent="0.25">
      <c r="T2576" s="1"/>
    </row>
    <row r="2577" spans="20:20" x14ac:dyDescent="0.25">
      <c r="T2577" s="1"/>
    </row>
    <row r="2578" spans="20:20" x14ac:dyDescent="0.25">
      <c r="T2578" s="1"/>
    </row>
    <row r="2579" spans="20:20" x14ac:dyDescent="0.25">
      <c r="T2579" s="1"/>
    </row>
    <row r="2580" spans="20:20" x14ac:dyDescent="0.25">
      <c r="T2580" s="1"/>
    </row>
    <row r="2581" spans="20:20" x14ac:dyDescent="0.25">
      <c r="T2581" s="1"/>
    </row>
    <row r="2582" spans="20:20" x14ac:dyDescent="0.25">
      <c r="T2582" s="1"/>
    </row>
    <row r="2583" spans="20:20" x14ac:dyDescent="0.25">
      <c r="T2583" s="1"/>
    </row>
    <row r="2584" spans="20:20" x14ac:dyDescent="0.25">
      <c r="T2584" s="1"/>
    </row>
    <row r="2585" spans="20:20" x14ac:dyDescent="0.25">
      <c r="T2585" s="1"/>
    </row>
    <row r="2586" spans="20:20" x14ac:dyDescent="0.25">
      <c r="T2586" s="1"/>
    </row>
    <row r="2587" spans="20:20" x14ac:dyDescent="0.25">
      <c r="T2587" s="1"/>
    </row>
    <row r="2588" spans="20:20" x14ac:dyDescent="0.25">
      <c r="T2588" s="1"/>
    </row>
    <row r="2589" spans="20:20" x14ac:dyDescent="0.25">
      <c r="T2589" s="1"/>
    </row>
    <row r="2590" spans="20:20" x14ac:dyDescent="0.25">
      <c r="T2590" s="1"/>
    </row>
    <row r="2591" spans="20:20" x14ac:dyDescent="0.25">
      <c r="T2591" s="1"/>
    </row>
    <row r="2592" spans="20:20" x14ac:dyDescent="0.25">
      <c r="T2592" s="1"/>
    </row>
    <row r="2593" spans="20:20" x14ac:dyDescent="0.25">
      <c r="T2593" s="1"/>
    </row>
    <row r="2594" spans="20:20" x14ac:dyDescent="0.25">
      <c r="T2594" s="1"/>
    </row>
    <row r="2595" spans="20:20" x14ac:dyDescent="0.25">
      <c r="T2595" s="1"/>
    </row>
    <row r="2596" spans="20:20" x14ac:dyDescent="0.25">
      <c r="T2596" s="1"/>
    </row>
    <row r="2597" spans="20:20" x14ac:dyDescent="0.25">
      <c r="T2597" s="1"/>
    </row>
    <row r="2598" spans="20:20" x14ac:dyDescent="0.25">
      <c r="T2598" s="1"/>
    </row>
    <row r="2599" spans="20:20" x14ac:dyDescent="0.25">
      <c r="T2599" s="1"/>
    </row>
    <row r="2600" spans="20:20" x14ac:dyDescent="0.25">
      <c r="T2600" s="1"/>
    </row>
    <row r="2601" spans="20:20" x14ac:dyDescent="0.25">
      <c r="T2601" s="1"/>
    </row>
    <row r="2602" spans="20:20" x14ac:dyDescent="0.25">
      <c r="T2602" s="1"/>
    </row>
    <row r="2603" spans="20:20" x14ac:dyDescent="0.25">
      <c r="T2603" s="1"/>
    </row>
    <row r="2604" spans="20:20" x14ac:dyDescent="0.25">
      <c r="T2604" s="1"/>
    </row>
    <row r="2605" spans="20:20" x14ac:dyDescent="0.25">
      <c r="T2605" s="1"/>
    </row>
    <row r="2606" spans="20:20" x14ac:dyDescent="0.25">
      <c r="T2606" s="1"/>
    </row>
    <row r="2607" spans="20:20" x14ac:dyDescent="0.25">
      <c r="T2607" s="1"/>
    </row>
    <row r="2608" spans="20:20" x14ac:dyDescent="0.25">
      <c r="T2608" s="1"/>
    </row>
    <row r="2609" spans="20:20" x14ac:dyDescent="0.25">
      <c r="T2609" s="1"/>
    </row>
    <row r="2610" spans="20:20" x14ac:dyDescent="0.25">
      <c r="T2610" s="1"/>
    </row>
    <row r="2611" spans="20:20" x14ac:dyDescent="0.25">
      <c r="T2611" s="1"/>
    </row>
    <row r="2612" spans="20:20" x14ac:dyDescent="0.25">
      <c r="T2612" s="1"/>
    </row>
    <row r="2613" spans="20:20" x14ac:dyDescent="0.25">
      <c r="T2613" s="1"/>
    </row>
    <row r="2614" spans="20:20" x14ac:dyDescent="0.25">
      <c r="T2614" s="1"/>
    </row>
    <row r="2615" spans="20:20" x14ac:dyDescent="0.25">
      <c r="T2615" s="1"/>
    </row>
    <row r="2616" spans="20:20" x14ac:dyDescent="0.25">
      <c r="T2616" s="1"/>
    </row>
    <row r="2617" spans="20:20" x14ac:dyDescent="0.25">
      <c r="T2617" s="1"/>
    </row>
    <row r="2618" spans="20:20" x14ac:dyDescent="0.25">
      <c r="T2618" s="1"/>
    </row>
    <row r="2619" spans="20:20" x14ac:dyDescent="0.25">
      <c r="T2619" s="1"/>
    </row>
    <row r="2620" spans="20:20" x14ac:dyDescent="0.25">
      <c r="T2620" s="1"/>
    </row>
    <row r="2621" spans="20:20" x14ac:dyDescent="0.25">
      <c r="T2621" s="1"/>
    </row>
    <row r="2622" spans="20:20" x14ac:dyDescent="0.25">
      <c r="T2622" s="1"/>
    </row>
    <row r="2623" spans="20:20" x14ac:dyDescent="0.25">
      <c r="T2623" s="1"/>
    </row>
    <row r="2624" spans="20:20" x14ac:dyDescent="0.25">
      <c r="T2624" s="1"/>
    </row>
    <row r="2625" spans="20:20" x14ac:dyDescent="0.25">
      <c r="T2625" s="1"/>
    </row>
    <row r="2626" spans="20:20" x14ac:dyDescent="0.25">
      <c r="T2626" s="1"/>
    </row>
    <row r="2627" spans="20:20" x14ac:dyDescent="0.25">
      <c r="T2627" s="1"/>
    </row>
    <row r="2628" spans="20:20" x14ac:dyDescent="0.25">
      <c r="T2628" s="1"/>
    </row>
    <row r="2629" spans="20:20" x14ac:dyDescent="0.25">
      <c r="T2629" s="1"/>
    </row>
    <row r="2630" spans="20:20" x14ac:dyDescent="0.25">
      <c r="T2630" s="1"/>
    </row>
    <row r="2631" spans="20:20" x14ac:dyDescent="0.25">
      <c r="T2631" s="1"/>
    </row>
    <row r="2632" spans="20:20" x14ac:dyDescent="0.25">
      <c r="T2632" s="1"/>
    </row>
    <row r="2633" spans="20:20" x14ac:dyDescent="0.25">
      <c r="T2633" s="1"/>
    </row>
    <row r="2634" spans="20:20" x14ac:dyDescent="0.25">
      <c r="T2634" s="1"/>
    </row>
    <row r="2635" spans="20:20" x14ac:dyDescent="0.25">
      <c r="T2635" s="1"/>
    </row>
    <row r="2636" spans="20:20" x14ac:dyDescent="0.25">
      <c r="T2636" s="1"/>
    </row>
    <row r="2637" spans="20:20" x14ac:dyDescent="0.25">
      <c r="T2637" s="1"/>
    </row>
    <row r="2638" spans="20:20" x14ac:dyDescent="0.25">
      <c r="T2638" s="1"/>
    </row>
    <row r="2639" spans="20:20" x14ac:dyDescent="0.25">
      <c r="T2639" s="1"/>
    </row>
    <row r="2640" spans="20:20" x14ac:dyDescent="0.25">
      <c r="T2640" s="1"/>
    </row>
    <row r="2641" spans="20:20" x14ac:dyDescent="0.25">
      <c r="T2641" s="1"/>
    </row>
    <row r="2642" spans="20:20" x14ac:dyDescent="0.25">
      <c r="T2642" s="1"/>
    </row>
    <row r="2643" spans="20:20" x14ac:dyDescent="0.25">
      <c r="T2643" s="1"/>
    </row>
    <row r="2644" spans="20:20" x14ac:dyDescent="0.25">
      <c r="T2644" s="1"/>
    </row>
    <row r="2645" spans="20:20" x14ac:dyDescent="0.25">
      <c r="T2645" s="1"/>
    </row>
    <row r="2646" spans="20:20" x14ac:dyDescent="0.25">
      <c r="T2646" s="1"/>
    </row>
    <row r="2647" spans="20:20" x14ac:dyDescent="0.25">
      <c r="T2647" s="1"/>
    </row>
    <row r="2648" spans="20:20" x14ac:dyDescent="0.25">
      <c r="T2648" s="1"/>
    </row>
    <row r="2649" spans="20:20" x14ac:dyDescent="0.25">
      <c r="T2649" s="1"/>
    </row>
    <row r="2650" spans="20:20" x14ac:dyDescent="0.25">
      <c r="T2650" s="1"/>
    </row>
    <row r="2651" spans="20:20" x14ac:dyDescent="0.25">
      <c r="T2651" s="1"/>
    </row>
    <row r="2652" spans="20:20" x14ac:dyDescent="0.25">
      <c r="T2652" s="1"/>
    </row>
    <row r="2653" spans="20:20" x14ac:dyDescent="0.25">
      <c r="T2653" s="1"/>
    </row>
    <row r="2654" spans="20:20" x14ac:dyDescent="0.25">
      <c r="T2654" s="1"/>
    </row>
    <row r="2655" spans="20:20" x14ac:dyDescent="0.25">
      <c r="T2655" s="1"/>
    </row>
    <row r="2656" spans="20:20" x14ac:dyDescent="0.25">
      <c r="T2656" s="1"/>
    </row>
    <row r="2657" spans="20:20" x14ac:dyDescent="0.25">
      <c r="T2657" s="1"/>
    </row>
    <row r="2658" spans="20:20" x14ac:dyDescent="0.25">
      <c r="T2658" s="1"/>
    </row>
    <row r="2659" spans="20:20" x14ac:dyDescent="0.25">
      <c r="T2659" s="1"/>
    </row>
    <row r="2660" spans="20:20" x14ac:dyDescent="0.25">
      <c r="T2660" s="1"/>
    </row>
    <row r="2661" spans="20:20" x14ac:dyDescent="0.25">
      <c r="T2661" s="1"/>
    </row>
    <row r="2662" spans="20:20" x14ac:dyDescent="0.25">
      <c r="T2662" s="1"/>
    </row>
    <row r="2663" spans="20:20" x14ac:dyDescent="0.25">
      <c r="T2663" s="1"/>
    </row>
    <row r="2664" spans="20:20" x14ac:dyDescent="0.25">
      <c r="T2664" s="1"/>
    </row>
    <row r="2665" spans="20:20" x14ac:dyDescent="0.25">
      <c r="T2665" s="1"/>
    </row>
    <row r="2666" spans="20:20" x14ac:dyDescent="0.25">
      <c r="T2666" s="1"/>
    </row>
    <row r="2667" spans="20:20" x14ac:dyDescent="0.25">
      <c r="T2667" s="1"/>
    </row>
    <row r="2668" spans="20:20" x14ac:dyDescent="0.25">
      <c r="T2668" s="1"/>
    </row>
    <row r="2669" spans="20:20" x14ac:dyDescent="0.25">
      <c r="T2669" s="1"/>
    </row>
    <row r="2670" spans="20:20" x14ac:dyDescent="0.25">
      <c r="T2670" s="1"/>
    </row>
    <row r="2671" spans="20:20" x14ac:dyDescent="0.25">
      <c r="T2671" s="1"/>
    </row>
    <row r="2672" spans="20:20" x14ac:dyDescent="0.25">
      <c r="T2672" s="1"/>
    </row>
    <row r="2673" spans="20:20" x14ac:dyDescent="0.25">
      <c r="T2673" s="1"/>
    </row>
    <row r="2674" spans="20:20" x14ac:dyDescent="0.25">
      <c r="T2674" s="1"/>
    </row>
    <row r="2675" spans="20:20" x14ac:dyDescent="0.25">
      <c r="T2675" s="1"/>
    </row>
    <row r="2676" spans="20:20" x14ac:dyDescent="0.25">
      <c r="T2676" s="1"/>
    </row>
    <row r="2677" spans="20:20" x14ac:dyDescent="0.25">
      <c r="T2677" s="1"/>
    </row>
    <row r="2678" spans="20:20" x14ac:dyDescent="0.25">
      <c r="T2678" s="1"/>
    </row>
    <row r="2679" spans="20:20" x14ac:dyDescent="0.25">
      <c r="T2679" s="1"/>
    </row>
    <row r="2680" spans="20:20" x14ac:dyDescent="0.25">
      <c r="T2680" s="1"/>
    </row>
    <row r="2681" spans="20:20" x14ac:dyDescent="0.25">
      <c r="T2681" s="1"/>
    </row>
    <row r="2682" spans="20:20" x14ac:dyDescent="0.25">
      <c r="T2682" s="1"/>
    </row>
    <row r="2683" spans="20:20" x14ac:dyDescent="0.25">
      <c r="T2683" s="1"/>
    </row>
    <row r="2684" spans="20:20" x14ac:dyDescent="0.25">
      <c r="T2684" s="1"/>
    </row>
    <row r="2685" spans="20:20" x14ac:dyDescent="0.25">
      <c r="T2685" s="1"/>
    </row>
    <row r="2686" spans="20:20" x14ac:dyDescent="0.25">
      <c r="T2686" s="1"/>
    </row>
    <row r="2687" spans="20:20" x14ac:dyDescent="0.25">
      <c r="T2687" s="1"/>
    </row>
    <row r="2688" spans="20:20" x14ac:dyDescent="0.25">
      <c r="T2688" s="1"/>
    </row>
    <row r="2689" spans="20:20" x14ac:dyDescent="0.25">
      <c r="T2689" s="1"/>
    </row>
    <row r="2690" spans="20:20" x14ac:dyDescent="0.25">
      <c r="T2690" s="1"/>
    </row>
    <row r="2691" spans="20:20" x14ac:dyDescent="0.25">
      <c r="T2691" s="1"/>
    </row>
    <row r="2692" spans="20:20" x14ac:dyDescent="0.25">
      <c r="T2692" s="1"/>
    </row>
    <row r="2693" spans="20:20" x14ac:dyDescent="0.25">
      <c r="T2693" s="1"/>
    </row>
    <row r="2694" spans="20:20" x14ac:dyDescent="0.25">
      <c r="T2694" s="1"/>
    </row>
    <row r="2695" spans="20:20" x14ac:dyDescent="0.25">
      <c r="T2695" s="1"/>
    </row>
    <row r="2696" spans="20:20" x14ac:dyDescent="0.25">
      <c r="T2696" s="1"/>
    </row>
    <row r="2697" spans="20:20" x14ac:dyDescent="0.25">
      <c r="T2697" s="1"/>
    </row>
    <row r="2698" spans="20:20" x14ac:dyDescent="0.25">
      <c r="T2698" s="1"/>
    </row>
    <row r="2699" spans="20:20" x14ac:dyDescent="0.25">
      <c r="T2699" s="1"/>
    </row>
    <row r="2700" spans="20:20" x14ac:dyDescent="0.25">
      <c r="T2700" s="1"/>
    </row>
    <row r="2701" spans="20:20" x14ac:dyDescent="0.25">
      <c r="T2701" s="1"/>
    </row>
    <row r="2702" spans="20:20" x14ac:dyDescent="0.25">
      <c r="T2702" s="1"/>
    </row>
    <row r="2703" spans="20:20" x14ac:dyDescent="0.25">
      <c r="T2703" s="1"/>
    </row>
    <row r="2704" spans="20:20" x14ac:dyDescent="0.25">
      <c r="T2704" s="1"/>
    </row>
    <row r="2705" spans="20:20" x14ac:dyDescent="0.25">
      <c r="T2705" s="1"/>
    </row>
    <row r="2706" spans="20:20" x14ac:dyDescent="0.25">
      <c r="T2706" s="1"/>
    </row>
    <row r="2707" spans="20:20" x14ac:dyDescent="0.25">
      <c r="T2707" s="1"/>
    </row>
    <row r="2708" spans="20:20" x14ac:dyDescent="0.25">
      <c r="T2708" s="1"/>
    </row>
    <row r="2709" spans="20:20" x14ac:dyDescent="0.25">
      <c r="T2709" s="1"/>
    </row>
    <row r="2710" spans="20:20" x14ac:dyDescent="0.25">
      <c r="T2710" s="1"/>
    </row>
    <row r="2711" spans="20:20" x14ac:dyDescent="0.25">
      <c r="T2711" s="1"/>
    </row>
    <row r="2712" spans="20:20" x14ac:dyDescent="0.25">
      <c r="T2712" s="1"/>
    </row>
    <row r="2713" spans="20:20" x14ac:dyDescent="0.25">
      <c r="T2713" s="1"/>
    </row>
    <row r="2714" spans="20:20" x14ac:dyDescent="0.25">
      <c r="T2714" s="1"/>
    </row>
    <row r="2715" spans="20:20" x14ac:dyDescent="0.25">
      <c r="T2715" s="1"/>
    </row>
    <row r="2716" spans="20:20" x14ac:dyDescent="0.25">
      <c r="T2716" s="1"/>
    </row>
    <row r="2717" spans="20:20" x14ac:dyDescent="0.25">
      <c r="T2717" s="1"/>
    </row>
    <row r="2718" spans="20:20" x14ac:dyDescent="0.25">
      <c r="T2718" s="1"/>
    </row>
    <row r="2719" spans="20:20" x14ac:dyDescent="0.25">
      <c r="T2719" s="1"/>
    </row>
    <row r="2720" spans="20:20" x14ac:dyDescent="0.25">
      <c r="T2720" s="1"/>
    </row>
    <row r="2721" spans="20:20" x14ac:dyDescent="0.25">
      <c r="T2721" s="1"/>
    </row>
    <row r="2722" spans="20:20" x14ac:dyDescent="0.25">
      <c r="T2722" s="1"/>
    </row>
    <row r="2723" spans="20:20" x14ac:dyDescent="0.25">
      <c r="T2723" s="1"/>
    </row>
    <row r="2724" spans="20:20" x14ac:dyDescent="0.25">
      <c r="T2724" s="1"/>
    </row>
    <row r="2725" spans="20:20" x14ac:dyDescent="0.25">
      <c r="T2725" s="1"/>
    </row>
    <row r="2726" spans="20:20" x14ac:dyDescent="0.25">
      <c r="T2726" s="1"/>
    </row>
    <row r="2727" spans="20:20" x14ac:dyDescent="0.25">
      <c r="T2727" s="1"/>
    </row>
    <row r="2728" spans="20:20" x14ac:dyDescent="0.25">
      <c r="T2728" s="1"/>
    </row>
    <row r="2729" spans="20:20" x14ac:dyDescent="0.25">
      <c r="T2729" s="1"/>
    </row>
    <row r="2730" spans="20:20" x14ac:dyDescent="0.25">
      <c r="T2730" s="1"/>
    </row>
    <row r="2731" spans="20:20" x14ac:dyDescent="0.25">
      <c r="T2731" s="1"/>
    </row>
    <row r="2732" spans="20:20" x14ac:dyDescent="0.25">
      <c r="T2732" s="1"/>
    </row>
    <row r="2733" spans="20:20" x14ac:dyDescent="0.25">
      <c r="T2733" s="1"/>
    </row>
    <row r="2734" spans="20:20" x14ac:dyDescent="0.25">
      <c r="T2734" s="1"/>
    </row>
    <row r="2735" spans="20:20" x14ac:dyDescent="0.25">
      <c r="T2735" s="1"/>
    </row>
    <row r="2736" spans="20:20" x14ac:dyDescent="0.25">
      <c r="T2736" s="1"/>
    </row>
    <row r="2737" spans="20:20" x14ac:dyDescent="0.25">
      <c r="T2737" s="1"/>
    </row>
    <row r="2738" spans="20:20" x14ac:dyDescent="0.25">
      <c r="T2738" s="1"/>
    </row>
    <row r="2739" spans="20:20" x14ac:dyDescent="0.25">
      <c r="T2739" s="1"/>
    </row>
    <row r="2740" spans="20:20" x14ac:dyDescent="0.25">
      <c r="T2740" s="1"/>
    </row>
    <row r="2741" spans="20:20" x14ac:dyDescent="0.25">
      <c r="T2741" s="1"/>
    </row>
    <row r="2742" spans="20:20" x14ac:dyDescent="0.25">
      <c r="T2742" s="1"/>
    </row>
    <row r="2743" spans="20:20" x14ac:dyDescent="0.25">
      <c r="T2743" s="1"/>
    </row>
    <row r="2744" spans="20:20" x14ac:dyDescent="0.25">
      <c r="T2744" s="1"/>
    </row>
    <row r="2745" spans="20:20" x14ac:dyDescent="0.25">
      <c r="T2745" s="1"/>
    </row>
    <row r="2746" spans="20:20" x14ac:dyDescent="0.25">
      <c r="T2746" s="1"/>
    </row>
    <row r="2747" spans="20:20" x14ac:dyDescent="0.25">
      <c r="T2747" s="1"/>
    </row>
    <row r="2748" spans="20:20" x14ac:dyDescent="0.25">
      <c r="T2748" s="1"/>
    </row>
    <row r="2749" spans="20:20" x14ac:dyDescent="0.25">
      <c r="T2749" s="1"/>
    </row>
    <row r="2750" spans="20:20" x14ac:dyDescent="0.25">
      <c r="T2750" s="1"/>
    </row>
    <row r="2751" spans="20:20" x14ac:dyDescent="0.25">
      <c r="T2751" s="1"/>
    </row>
    <row r="2752" spans="20:20" x14ac:dyDescent="0.25">
      <c r="T2752" s="1"/>
    </row>
    <row r="2753" spans="20:20" x14ac:dyDescent="0.25">
      <c r="T2753" s="1"/>
    </row>
    <row r="2754" spans="20:20" x14ac:dyDescent="0.25">
      <c r="T2754" s="1"/>
    </row>
    <row r="2755" spans="20:20" x14ac:dyDescent="0.25">
      <c r="T2755" s="1"/>
    </row>
    <row r="2756" spans="20:20" x14ac:dyDescent="0.25">
      <c r="T2756" s="1"/>
    </row>
    <row r="2757" spans="20:20" x14ac:dyDescent="0.25">
      <c r="T2757" s="1"/>
    </row>
    <row r="2758" spans="20:20" x14ac:dyDescent="0.25">
      <c r="T2758" s="1"/>
    </row>
    <row r="2759" spans="20:20" x14ac:dyDescent="0.25">
      <c r="T2759" s="1"/>
    </row>
    <row r="2760" spans="20:20" x14ac:dyDescent="0.25">
      <c r="T2760" s="1"/>
    </row>
    <row r="2761" spans="20:20" x14ac:dyDescent="0.25">
      <c r="T2761" s="1"/>
    </row>
    <row r="2762" spans="20:20" x14ac:dyDescent="0.25">
      <c r="T2762" s="1"/>
    </row>
    <row r="2763" spans="20:20" x14ac:dyDescent="0.25">
      <c r="T2763" s="1"/>
    </row>
    <row r="2764" spans="20:20" x14ac:dyDescent="0.25">
      <c r="T2764" s="1"/>
    </row>
    <row r="2765" spans="20:20" x14ac:dyDescent="0.25">
      <c r="T2765" s="1"/>
    </row>
    <row r="2766" spans="20:20" x14ac:dyDescent="0.25">
      <c r="T2766" s="1"/>
    </row>
    <row r="2767" spans="20:20" x14ac:dyDescent="0.25">
      <c r="T2767" s="1"/>
    </row>
    <row r="2768" spans="20:20" x14ac:dyDescent="0.25">
      <c r="T2768" s="1"/>
    </row>
    <row r="2769" spans="20:20" x14ac:dyDescent="0.25">
      <c r="T2769" s="1"/>
    </row>
    <row r="2770" spans="20:20" x14ac:dyDescent="0.25">
      <c r="T2770" s="1"/>
    </row>
    <row r="2771" spans="20:20" x14ac:dyDescent="0.25">
      <c r="T2771" s="1"/>
    </row>
    <row r="2772" spans="20:20" x14ac:dyDescent="0.25">
      <c r="T2772" s="1"/>
    </row>
    <row r="2773" spans="20:20" x14ac:dyDescent="0.25">
      <c r="T2773" s="1"/>
    </row>
    <row r="2774" spans="20:20" x14ac:dyDescent="0.25">
      <c r="T2774" s="1"/>
    </row>
    <row r="2775" spans="20:20" x14ac:dyDescent="0.25">
      <c r="T2775" s="1"/>
    </row>
    <row r="2776" spans="20:20" x14ac:dyDescent="0.25">
      <c r="T2776" s="1"/>
    </row>
    <row r="2777" spans="20:20" x14ac:dyDescent="0.25">
      <c r="T2777" s="1"/>
    </row>
    <row r="2778" spans="20:20" x14ac:dyDescent="0.25">
      <c r="T2778" s="1"/>
    </row>
    <row r="2779" spans="20:20" x14ac:dyDescent="0.25">
      <c r="T2779" s="1"/>
    </row>
    <row r="2780" spans="20:20" x14ac:dyDescent="0.25">
      <c r="T2780" s="1"/>
    </row>
    <row r="2781" spans="20:20" x14ac:dyDescent="0.25">
      <c r="T2781" s="1"/>
    </row>
    <row r="2782" spans="20:20" x14ac:dyDescent="0.25">
      <c r="T2782" s="1"/>
    </row>
    <row r="2783" spans="20:20" x14ac:dyDescent="0.25">
      <c r="T2783" s="1"/>
    </row>
    <row r="2784" spans="20:20" x14ac:dyDescent="0.25">
      <c r="T2784" s="1"/>
    </row>
    <row r="2785" spans="20:20" x14ac:dyDescent="0.25">
      <c r="T2785" s="1"/>
    </row>
    <row r="2786" spans="20:20" x14ac:dyDescent="0.25">
      <c r="T2786" s="1"/>
    </row>
    <row r="2787" spans="20:20" x14ac:dyDescent="0.25">
      <c r="T2787" s="1"/>
    </row>
    <row r="2788" spans="20:20" x14ac:dyDescent="0.25">
      <c r="T2788" s="1"/>
    </row>
    <row r="2789" spans="20:20" x14ac:dyDescent="0.25">
      <c r="T2789" s="1"/>
    </row>
    <row r="2790" spans="20:20" x14ac:dyDescent="0.25">
      <c r="T2790" s="1"/>
    </row>
    <row r="2791" spans="20:20" x14ac:dyDescent="0.25">
      <c r="T2791" s="1"/>
    </row>
    <row r="2792" spans="20:20" x14ac:dyDescent="0.25">
      <c r="T2792" s="1"/>
    </row>
    <row r="2793" spans="20:20" x14ac:dyDescent="0.25">
      <c r="T2793" s="1"/>
    </row>
    <row r="2794" spans="20:20" x14ac:dyDescent="0.25">
      <c r="T2794" s="1"/>
    </row>
    <row r="2795" spans="20:20" x14ac:dyDescent="0.25">
      <c r="T2795" s="1"/>
    </row>
    <row r="2796" spans="20:20" x14ac:dyDescent="0.25">
      <c r="T2796" s="1"/>
    </row>
    <row r="2797" spans="20:20" x14ac:dyDescent="0.25">
      <c r="T2797" s="1"/>
    </row>
    <row r="2798" spans="20:20" x14ac:dyDescent="0.25">
      <c r="T2798" s="1"/>
    </row>
    <row r="2799" spans="20:20" x14ac:dyDescent="0.25">
      <c r="T2799" s="1"/>
    </row>
    <row r="2800" spans="20:20" x14ac:dyDescent="0.25">
      <c r="T2800" s="1"/>
    </row>
    <row r="2801" spans="20:20" x14ac:dyDescent="0.25">
      <c r="T2801" s="1"/>
    </row>
    <row r="2802" spans="20:20" x14ac:dyDescent="0.25">
      <c r="T2802" s="1"/>
    </row>
    <row r="2803" spans="20:20" x14ac:dyDescent="0.25">
      <c r="T2803" s="1"/>
    </row>
    <row r="2804" spans="20:20" x14ac:dyDescent="0.25">
      <c r="T2804" s="1"/>
    </row>
    <row r="2805" spans="20:20" x14ac:dyDescent="0.25">
      <c r="T2805" s="1"/>
    </row>
    <row r="2806" spans="20:20" x14ac:dyDescent="0.25">
      <c r="T2806" s="1"/>
    </row>
    <row r="2807" spans="20:20" x14ac:dyDescent="0.25">
      <c r="T2807" s="1"/>
    </row>
    <row r="2808" spans="20:20" x14ac:dyDescent="0.25">
      <c r="T2808" s="1"/>
    </row>
    <row r="2809" spans="20:20" x14ac:dyDescent="0.25">
      <c r="T2809" s="1"/>
    </row>
    <row r="2810" spans="20:20" x14ac:dyDescent="0.25">
      <c r="T2810" s="1"/>
    </row>
    <row r="2811" spans="20:20" x14ac:dyDescent="0.25">
      <c r="T2811" s="1"/>
    </row>
    <row r="2812" spans="20:20" x14ac:dyDescent="0.25">
      <c r="T2812" s="1"/>
    </row>
    <row r="2813" spans="20:20" x14ac:dyDescent="0.25">
      <c r="T2813" s="1"/>
    </row>
    <row r="2814" spans="20:20" x14ac:dyDescent="0.25">
      <c r="T2814" s="1"/>
    </row>
    <row r="2815" spans="20:20" x14ac:dyDescent="0.25">
      <c r="T2815" s="1"/>
    </row>
    <row r="2816" spans="20:20" x14ac:dyDescent="0.25">
      <c r="T2816" s="1"/>
    </row>
    <row r="2817" spans="20:20" x14ac:dyDescent="0.25">
      <c r="T2817" s="1"/>
    </row>
    <row r="2818" spans="20:20" x14ac:dyDescent="0.25">
      <c r="T2818" s="1"/>
    </row>
    <row r="2819" spans="20:20" x14ac:dyDescent="0.25">
      <c r="T2819" s="1"/>
    </row>
    <row r="2820" spans="20:20" x14ac:dyDescent="0.25">
      <c r="T2820" s="1"/>
    </row>
    <row r="2821" spans="20:20" x14ac:dyDescent="0.25">
      <c r="T2821" s="1"/>
    </row>
    <row r="2822" spans="20:20" x14ac:dyDescent="0.25">
      <c r="T2822" s="1"/>
    </row>
    <row r="2823" spans="20:20" x14ac:dyDescent="0.25">
      <c r="T2823" s="1"/>
    </row>
    <row r="2824" spans="20:20" x14ac:dyDescent="0.25">
      <c r="T2824" s="1"/>
    </row>
    <row r="2825" spans="20:20" x14ac:dyDescent="0.25">
      <c r="T2825" s="1"/>
    </row>
    <row r="2826" spans="20:20" x14ac:dyDescent="0.25">
      <c r="T2826" s="1"/>
    </row>
    <row r="2827" spans="20:20" x14ac:dyDescent="0.25">
      <c r="T2827" s="1"/>
    </row>
    <row r="2828" spans="20:20" x14ac:dyDescent="0.25">
      <c r="T2828" s="1"/>
    </row>
    <row r="2829" spans="20:20" x14ac:dyDescent="0.25">
      <c r="T2829" s="1"/>
    </row>
    <row r="2830" spans="20:20" x14ac:dyDescent="0.25">
      <c r="T2830" s="1"/>
    </row>
    <row r="2831" spans="20:20" x14ac:dyDescent="0.25">
      <c r="T2831" s="1"/>
    </row>
    <row r="2832" spans="20:20" x14ac:dyDescent="0.25">
      <c r="T2832" s="1"/>
    </row>
    <row r="2833" spans="20:20" x14ac:dyDescent="0.25">
      <c r="T2833" s="1"/>
    </row>
    <row r="2834" spans="20:20" x14ac:dyDescent="0.25">
      <c r="T2834" s="1"/>
    </row>
    <row r="2835" spans="20:20" x14ac:dyDescent="0.25">
      <c r="T2835" s="1"/>
    </row>
    <row r="2836" spans="20:20" x14ac:dyDescent="0.25">
      <c r="T2836" s="1"/>
    </row>
    <row r="2837" spans="20:20" x14ac:dyDescent="0.25">
      <c r="T2837" s="1"/>
    </row>
    <row r="2838" spans="20:20" x14ac:dyDescent="0.25">
      <c r="T2838" s="1"/>
    </row>
    <row r="2839" spans="20:20" x14ac:dyDescent="0.25">
      <c r="T2839" s="1"/>
    </row>
    <row r="2840" spans="20:20" x14ac:dyDescent="0.25">
      <c r="T2840" s="1"/>
    </row>
    <row r="2841" spans="20:20" x14ac:dyDescent="0.25">
      <c r="T2841" s="1"/>
    </row>
    <row r="2842" spans="20:20" x14ac:dyDescent="0.25">
      <c r="T2842" s="1"/>
    </row>
    <row r="2843" spans="20:20" x14ac:dyDescent="0.25">
      <c r="T2843" s="1"/>
    </row>
    <row r="2844" spans="20:20" x14ac:dyDescent="0.25">
      <c r="T2844" s="1"/>
    </row>
    <row r="2845" spans="20:20" x14ac:dyDescent="0.25">
      <c r="T2845" s="1"/>
    </row>
    <row r="2846" spans="20:20" x14ac:dyDescent="0.25">
      <c r="T2846" s="1"/>
    </row>
    <row r="2847" spans="20:20" x14ac:dyDescent="0.25">
      <c r="T2847" s="1"/>
    </row>
    <row r="2848" spans="20:20" x14ac:dyDescent="0.25">
      <c r="T2848" s="1"/>
    </row>
    <row r="2849" spans="20:20" x14ac:dyDescent="0.25">
      <c r="T2849" s="1"/>
    </row>
    <row r="2850" spans="20:20" x14ac:dyDescent="0.25">
      <c r="T2850" s="1"/>
    </row>
    <row r="2851" spans="20:20" x14ac:dyDescent="0.25">
      <c r="T2851" s="1"/>
    </row>
    <row r="2852" spans="20:20" x14ac:dyDescent="0.25">
      <c r="T2852" s="1"/>
    </row>
    <row r="2853" spans="20:20" x14ac:dyDescent="0.25">
      <c r="T2853" s="1"/>
    </row>
    <row r="2854" spans="20:20" x14ac:dyDescent="0.25">
      <c r="T2854" s="1"/>
    </row>
    <row r="2855" spans="20:20" x14ac:dyDescent="0.25">
      <c r="T2855" s="1"/>
    </row>
    <row r="2856" spans="20:20" x14ac:dyDescent="0.25">
      <c r="T2856" s="1"/>
    </row>
    <row r="2857" spans="20:20" x14ac:dyDescent="0.25">
      <c r="T2857" s="1"/>
    </row>
    <row r="2858" spans="20:20" x14ac:dyDescent="0.25">
      <c r="T2858" s="1"/>
    </row>
    <row r="2859" spans="20:20" x14ac:dyDescent="0.25">
      <c r="T2859" s="1"/>
    </row>
    <row r="2860" spans="20:20" x14ac:dyDescent="0.25">
      <c r="T2860" s="1"/>
    </row>
    <row r="2861" spans="20:20" x14ac:dyDescent="0.25">
      <c r="T2861" s="1"/>
    </row>
    <row r="2862" spans="20:20" x14ac:dyDescent="0.25">
      <c r="T2862" s="1"/>
    </row>
    <row r="2863" spans="20:20" x14ac:dyDescent="0.25">
      <c r="T2863" s="1"/>
    </row>
    <row r="2864" spans="20:20" x14ac:dyDescent="0.25">
      <c r="T2864" s="1"/>
    </row>
    <row r="2865" spans="20:20" x14ac:dyDescent="0.25">
      <c r="T2865" s="1"/>
    </row>
    <row r="2866" spans="20:20" x14ac:dyDescent="0.25">
      <c r="T2866" s="1"/>
    </row>
    <row r="2867" spans="20:20" x14ac:dyDescent="0.25">
      <c r="T2867" s="1"/>
    </row>
    <row r="2868" spans="20:20" x14ac:dyDescent="0.25">
      <c r="T2868" s="1"/>
    </row>
    <row r="2869" spans="20:20" x14ac:dyDescent="0.25">
      <c r="T2869" s="1"/>
    </row>
    <row r="2870" spans="20:20" x14ac:dyDescent="0.25">
      <c r="T2870" s="1"/>
    </row>
    <row r="2871" spans="20:20" x14ac:dyDescent="0.25">
      <c r="T2871" s="1"/>
    </row>
    <row r="2872" spans="20:20" x14ac:dyDescent="0.25">
      <c r="T2872" s="1"/>
    </row>
    <row r="2873" spans="20:20" x14ac:dyDescent="0.25">
      <c r="T2873" s="1"/>
    </row>
    <row r="2874" spans="20:20" x14ac:dyDescent="0.25">
      <c r="T2874" s="1"/>
    </row>
    <row r="2875" spans="20:20" x14ac:dyDescent="0.25">
      <c r="T2875" s="1"/>
    </row>
    <row r="2876" spans="20:20" x14ac:dyDescent="0.25">
      <c r="T2876" s="1"/>
    </row>
    <row r="2877" spans="20:20" x14ac:dyDescent="0.25">
      <c r="T2877" s="1"/>
    </row>
    <row r="2878" spans="20:20" x14ac:dyDescent="0.25">
      <c r="T2878" s="1"/>
    </row>
    <row r="2879" spans="20:20" x14ac:dyDescent="0.25">
      <c r="T2879" s="1"/>
    </row>
    <row r="2880" spans="20:20" x14ac:dyDescent="0.25">
      <c r="T2880" s="1"/>
    </row>
    <row r="2881" spans="20:20" x14ac:dyDescent="0.25">
      <c r="T2881" s="1"/>
    </row>
    <row r="2882" spans="20:20" x14ac:dyDescent="0.25">
      <c r="T2882" s="1"/>
    </row>
    <row r="2883" spans="20:20" x14ac:dyDescent="0.25">
      <c r="T2883" s="1"/>
    </row>
    <row r="2884" spans="20:20" x14ac:dyDescent="0.25">
      <c r="T2884" s="1"/>
    </row>
    <row r="2885" spans="20:20" x14ac:dyDescent="0.25">
      <c r="T2885" s="1"/>
    </row>
    <row r="2886" spans="20:20" x14ac:dyDescent="0.25">
      <c r="T2886" s="1"/>
    </row>
    <row r="2887" spans="20:20" x14ac:dyDescent="0.25">
      <c r="T2887" s="1"/>
    </row>
    <row r="2888" spans="20:20" x14ac:dyDescent="0.25">
      <c r="T2888" s="1"/>
    </row>
    <row r="2889" spans="20:20" x14ac:dyDescent="0.25">
      <c r="T2889" s="1"/>
    </row>
    <row r="2890" spans="20:20" x14ac:dyDescent="0.25">
      <c r="T2890" s="1"/>
    </row>
    <row r="2891" spans="20:20" x14ac:dyDescent="0.25">
      <c r="T2891" s="1"/>
    </row>
    <row r="2892" spans="20:20" x14ac:dyDescent="0.25">
      <c r="T2892" s="1"/>
    </row>
    <row r="2893" spans="20:20" x14ac:dyDescent="0.25">
      <c r="T2893" s="1"/>
    </row>
    <row r="2894" spans="20:20" x14ac:dyDescent="0.25">
      <c r="T2894" s="1"/>
    </row>
    <row r="2895" spans="20:20" x14ac:dyDescent="0.25">
      <c r="T2895" s="1"/>
    </row>
    <row r="2896" spans="20:20" x14ac:dyDescent="0.25">
      <c r="T2896" s="1"/>
    </row>
    <row r="2897" spans="20:20" x14ac:dyDescent="0.25">
      <c r="T2897" s="1"/>
    </row>
    <row r="2898" spans="20:20" x14ac:dyDescent="0.25">
      <c r="T2898" s="1"/>
    </row>
    <row r="2899" spans="20:20" x14ac:dyDescent="0.25">
      <c r="T2899" s="1"/>
    </row>
    <row r="2900" spans="20:20" x14ac:dyDescent="0.25">
      <c r="T2900" s="1"/>
    </row>
    <row r="2901" spans="20:20" x14ac:dyDescent="0.25">
      <c r="T2901" s="1"/>
    </row>
    <row r="2902" spans="20:20" x14ac:dyDescent="0.25">
      <c r="T2902" s="1"/>
    </row>
    <row r="2903" spans="20:20" x14ac:dyDescent="0.25">
      <c r="T2903" s="1"/>
    </row>
    <row r="2904" spans="20:20" x14ac:dyDescent="0.25">
      <c r="T2904" s="1"/>
    </row>
    <row r="2905" spans="20:20" x14ac:dyDescent="0.25">
      <c r="T2905" s="1"/>
    </row>
    <row r="2906" spans="20:20" x14ac:dyDescent="0.25">
      <c r="T2906" s="1"/>
    </row>
    <row r="2907" spans="20:20" x14ac:dyDescent="0.25">
      <c r="T2907" s="1"/>
    </row>
    <row r="2908" spans="20:20" x14ac:dyDescent="0.25">
      <c r="T2908" s="1"/>
    </row>
    <row r="2909" spans="20:20" x14ac:dyDescent="0.25">
      <c r="T2909" s="1"/>
    </row>
    <row r="2910" spans="20:20" x14ac:dyDescent="0.25">
      <c r="T2910" s="1"/>
    </row>
    <row r="2911" spans="20:20" x14ac:dyDescent="0.25">
      <c r="T2911" s="1"/>
    </row>
    <row r="2912" spans="20:20" x14ac:dyDescent="0.25">
      <c r="T2912" s="1"/>
    </row>
    <row r="2913" spans="20:20" x14ac:dyDescent="0.25">
      <c r="T2913" s="1"/>
    </row>
    <row r="2914" spans="20:20" x14ac:dyDescent="0.25">
      <c r="T2914" s="1"/>
    </row>
    <row r="2915" spans="20:20" x14ac:dyDescent="0.25">
      <c r="T2915" s="1"/>
    </row>
    <row r="2916" spans="20:20" x14ac:dyDescent="0.25">
      <c r="T2916" s="1"/>
    </row>
    <row r="2917" spans="20:20" x14ac:dyDescent="0.25">
      <c r="T2917" s="1"/>
    </row>
    <row r="2918" spans="20:20" x14ac:dyDescent="0.25">
      <c r="T2918" s="1"/>
    </row>
    <row r="2919" spans="20:20" x14ac:dyDescent="0.25">
      <c r="T2919" s="1"/>
    </row>
    <row r="2920" spans="20:20" x14ac:dyDescent="0.25">
      <c r="T2920" s="1"/>
    </row>
    <row r="2921" spans="20:20" x14ac:dyDescent="0.25">
      <c r="T2921" s="1"/>
    </row>
    <row r="2922" spans="20:20" x14ac:dyDescent="0.25">
      <c r="T2922" s="1"/>
    </row>
    <row r="2923" spans="20:20" x14ac:dyDescent="0.25">
      <c r="T2923" s="1"/>
    </row>
    <row r="2924" spans="20:20" x14ac:dyDescent="0.25">
      <c r="T2924" s="1"/>
    </row>
    <row r="2925" spans="20:20" x14ac:dyDescent="0.25">
      <c r="T2925" s="1"/>
    </row>
    <row r="2926" spans="20:20" x14ac:dyDescent="0.25">
      <c r="T2926" s="1"/>
    </row>
    <row r="2927" spans="20:20" x14ac:dyDescent="0.25">
      <c r="T2927" s="1"/>
    </row>
    <row r="2928" spans="20:20" x14ac:dyDescent="0.25">
      <c r="T2928" s="1"/>
    </row>
    <row r="2929" spans="20:20" x14ac:dyDescent="0.25">
      <c r="T2929" s="1"/>
    </row>
    <row r="2930" spans="20:20" x14ac:dyDescent="0.25">
      <c r="T2930" s="1"/>
    </row>
    <row r="2931" spans="20:20" x14ac:dyDescent="0.25">
      <c r="T2931" s="1"/>
    </row>
    <row r="2932" spans="20:20" x14ac:dyDescent="0.25">
      <c r="T2932" s="1"/>
    </row>
    <row r="2933" spans="20:20" x14ac:dyDescent="0.25">
      <c r="T2933" s="1"/>
    </row>
    <row r="2934" spans="20:20" x14ac:dyDescent="0.25">
      <c r="T2934" s="1"/>
    </row>
    <row r="2935" spans="20:20" x14ac:dyDescent="0.25">
      <c r="T2935" s="1"/>
    </row>
    <row r="2936" spans="20:20" x14ac:dyDescent="0.25">
      <c r="T2936" s="1"/>
    </row>
    <row r="2937" spans="20:20" x14ac:dyDescent="0.25">
      <c r="T2937" s="1"/>
    </row>
    <row r="2938" spans="20:20" x14ac:dyDescent="0.25">
      <c r="T2938" s="1"/>
    </row>
    <row r="2939" spans="20:20" x14ac:dyDescent="0.25">
      <c r="T2939" s="1"/>
    </row>
    <row r="2940" spans="20:20" x14ac:dyDescent="0.25">
      <c r="T2940" s="1"/>
    </row>
    <row r="2941" spans="20:20" x14ac:dyDescent="0.25">
      <c r="T2941" s="1"/>
    </row>
    <row r="2942" spans="20:20" x14ac:dyDescent="0.25">
      <c r="T2942" s="1"/>
    </row>
    <row r="2943" spans="20:20" x14ac:dyDescent="0.25">
      <c r="T2943" s="1"/>
    </row>
    <row r="2944" spans="20:20" x14ac:dyDescent="0.25">
      <c r="T2944" s="1"/>
    </row>
    <row r="2945" spans="20:20" x14ac:dyDescent="0.25">
      <c r="T2945" s="1"/>
    </row>
    <row r="2946" spans="20:20" x14ac:dyDescent="0.25">
      <c r="T2946" s="1"/>
    </row>
    <row r="2947" spans="20:20" x14ac:dyDescent="0.25">
      <c r="T2947" s="1"/>
    </row>
    <row r="2948" spans="20:20" x14ac:dyDescent="0.25">
      <c r="T2948" s="1"/>
    </row>
    <row r="2949" spans="20:20" x14ac:dyDescent="0.25">
      <c r="T2949" s="1"/>
    </row>
    <row r="2950" spans="20:20" x14ac:dyDescent="0.25">
      <c r="T2950" s="1"/>
    </row>
    <row r="2951" spans="20:20" x14ac:dyDescent="0.25">
      <c r="T2951" s="1"/>
    </row>
    <row r="2952" spans="20:20" x14ac:dyDescent="0.25">
      <c r="T2952" s="1"/>
    </row>
    <row r="2953" spans="20:20" x14ac:dyDescent="0.25">
      <c r="T2953" s="1"/>
    </row>
    <row r="2954" spans="20:20" x14ac:dyDescent="0.25">
      <c r="T2954" s="1"/>
    </row>
    <row r="2955" spans="20:20" x14ac:dyDescent="0.25">
      <c r="T2955" s="1"/>
    </row>
    <row r="2956" spans="20:20" x14ac:dyDescent="0.25">
      <c r="T2956" s="1"/>
    </row>
    <row r="2957" spans="20:20" x14ac:dyDescent="0.25">
      <c r="T2957" s="1"/>
    </row>
    <row r="2958" spans="20:20" x14ac:dyDescent="0.25">
      <c r="T2958" s="1"/>
    </row>
    <row r="2959" spans="20:20" x14ac:dyDescent="0.25">
      <c r="T2959" s="1"/>
    </row>
    <row r="2960" spans="20:20" x14ac:dyDescent="0.25">
      <c r="T2960" s="1"/>
    </row>
    <row r="2961" spans="20:20" x14ac:dyDescent="0.25">
      <c r="T2961" s="1"/>
    </row>
    <row r="2962" spans="20:20" x14ac:dyDescent="0.25">
      <c r="T2962" s="1"/>
    </row>
    <row r="2963" spans="20:20" x14ac:dyDescent="0.25">
      <c r="T2963" s="1"/>
    </row>
    <row r="2964" spans="20:20" x14ac:dyDescent="0.25">
      <c r="T2964" s="1"/>
    </row>
    <row r="2965" spans="20:20" x14ac:dyDescent="0.25">
      <c r="T2965" s="1"/>
    </row>
    <row r="2966" spans="20:20" x14ac:dyDescent="0.25">
      <c r="T2966" s="1"/>
    </row>
    <row r="2967" spans="20:20" x14ac:dyDescent="0.25">
      <c r="T2967" s="1"/>
    </row>
    <row r="2968" spans="20:20" x14ac:dyDescent="0.25">
      <c r="T2968" s="1"/>
    </row>
    <row r="2969" spans="20:20" x14ac:dyDescent="0.25">
      <c r="T2969" s="1"/>
    </row>
    <row r="2970" spans="20:20" x14ac:dyDescent="0.25">
      <c r="T2970" s="1"/>
    </row>
    <row r="2971" spans="20:20" x14ac:dyDescent="0.25">
      <c r="T2971" s="1"/>
    </row>
    <row r="2972" spans="20:20" x14ac:dyDescent="0.25">
      <c r="T2972" s="1"/>
    </row>
    <row r="2973" spans="20:20" x14ac:dyDescent="0.25">
      <c r="T2973" s="1"/>
    </row>
    <row r="2974" spans="20:20" x14ac:dyDescent="0.25">
      <c r="T2974" s="1"/>
    </row>
    <row r="2975" spans="20:20" x14ac:dyDescent="0.25">
      <c r="T2975" s="1"/>
    </row>
    <row r="2976" spans="20:20" x14ac:dyDescent="0.25">
      <c r="T2976" s="1"/>
    </row>
    <row r="2977" spans="20:20" x14ac:dyDescent="0.25">
      <c r="T2977" s="1"/>
    </row>
    <row r="2978" spans="20:20" x14ac:dyDescent="0.25">
      <c r="T2978" s="1"/>
    </row>
    <row r="2979" spans="20:20" x14ac:dyDescent="0.25">
      <c r="T2979" s="1"/>
    </row>
    <row r="2980" spans="20:20" x14ac:dyDescent="0.25">
      <c r="T2980" s="1"/>
    </row>
    <row r="2981" spans="20:20" x14ac:dyDescent="0.25">
      <c r="T2981" s="1"/>
    </row>
    <row r="2982" spans="20:20" x14ac:dyDescent="0.25">
      <c r="T2982" s="1"/>
    </row>
    <row r="2983" spans="20:20" x14ac:dyDescent="0.25">
      <c r="T2983" s="1"/>
    </row>
    <row r="2984" spans="20:20" x14ac:dyDescent="0.25">
      <c r="T2984" s="1"/>
    </row>
    <row r="2985" spans="20:20" x14ac:dyDescent="0.25">
      <c r="T2985" s="1"/>
    </row>
    <row r="2986" spans="20:20" x14ac:dyDescent="0.25">
      <c r="T2986" s="1"/>
    </row>
    <row r="2987" spans="20:20" x14ac:dyDescent="0.25">
      <c r="T2987" s="1"/>
    </row>
    <row r="2988" spans="20:20" x14ac:dyDescent="0.25">
      <c r="T2988" s="1"/>
    </row>
    <row r="2989" spans="20:20" x14ac:dyDescent="0.25">
      <c r="T2989" s="1"/>
    </row>
    <row r="2990" spans="20:20" x14ac:dyDescent="0.25">
      <c r="T2990" s="1"/>
    </row>
    <row r="2991" spans="20:20" x14ac:dyDescent="0.25">
      <c r="T2991" s="1"/>
    </row>
    <row r="2992" spans="20:20" x14ac:dyDescent="0.25">
      <c r="T2992" s="1"/>
    </row>
    <row r="2993" spans="20:20" x14ac:dyDescent="0.25">
      <c r="T2993" s="1"/>
    </row>
    <row r="2994" spans="20:20" x14ac:dyDescent="0.25">
      <c r="T2994" s="1"/>
    </row>
    <row r="2995" spans="20:20" x14ac:dyDescent="0.25">
      <c r="T2995" s="1"/>
    </row>
    <row r="2996" spans="20:20" x14ac:dyDescent="0.25">
      <c r="T2996" s="1"/>
    </row>
    <row r="2997" spans="20:20" x14ac:dyDescent="0.25">
      <c r="T2997" s="1"/>
    </row>
    <row r="2998" spans="20:20" x14ac:dyDescent="0.25">
      <c r="T2998" s="1"/>
    </row>
    <row r="2999" spans="20:20" x14ac:dyDescent="0.25">
      <c r="T2999" s="1"/>
    </row>
    <row r="3000" spans="20:20" x14ac:dyDescent="0.25">
      <c r="T3000" s="1"/>
    </row>
    <row r="3001" spans="20:20" x14ac:dyDescent="0.25">
      <c r="T3001" s="1"/>
    </row>
    <row r="3002" spans="20:20" x14ac:dyDescent="0.25">
      <c r="T3002" s="1"/>
    </row>
    <row r="3003" spans="20:20" x14ac:dyDescent="0.25">
      <c r="T3003" s="1"/>
    </row>
    <row r="3004" spans="20:20" x14ac:dyDescent="0.25">
      <c r="T3004" s="1"/>
    </row>
    <row r="3005" spans="20:20" x14ac:dyDescent="0.25">
      <c r="T3005" s="1"/>
    </row>
    <row r="3006" spans="20:20" x14ac:dyDescent="0.25">
      <c r="T3006" s="1"/>
    </row>
    <row r="3007" spans="20:20" x14ac:dyDescent="0.25">
      <c r="T3007" s="1"/>
    </row>
    <row r="3008" spans="20:20" x14ac:dyDescent="0.25">
      <c r="T3008" s="1"/>
    </row>
    <row r="3009" spans="20:20" x14ac:dyDescent="0.25">
      <c r="T3009" s="1"/>
    </row>
    <row r="3010" spans="20:20" x14ac:dyDescent="0.25">
      <c r="T3010" s="1"/>
    </row>
    <row r="3011" spans="20:20" x14ac:dyDescent="0.25">
      <c r="T3011" s="1"/>
    </row>
    <row r="3012" spans="20:20" x14ac:dyDescent="0.25">
      <c r="T3012" s="1"/>
    </row>
    <row r="3013" spans="20:20" x14ac:dyDescent="0.25">
      <c r="T3013" s="1"/>
    </row>
    <row r="3014" spans="20:20" x14ac:dyDescent="0.25">
      <c r="T3014" s="1"/>
    </row>
    <row r="3015" spans="20:20" x14ac:dyDescent="0.25">
      <c r="T3015" s="1"/>
    </row>
    <row r="3016" spans="20:20" x14ac:dyDescent="0.25">
      <c r="T3016" s="1"/>
    </row>
    <row r="3017" spans="20:20" x14ac:dyDescent="0.25">
      <c r="T3017" s="1"/>
    </row>
    <row r="3018" spans="20:20" x14ac:dyDescent="0.25">
      <c r="T3018" s="1"/>
    </row>
    <row r="3019" spans="20:20" x14ac:dyDescent="0.25">
      <c r="T3019" s="1"/>
    </row>
    <row r="3020" spans="20:20" x14ac:dyDescent="0.25">
      <c r="T3020" s="1"/>
    </row>
    <row r="3021" spans="20:20" x14ac:dyDescent="0.25">
      <c r="T3021" s="1"/>
    </row>
    <row r="3022" spans="20:20" x14ac:dyDescent="0.25">
      <c r="T3022" s="1"/>
    </row>
    <row r="3023" spans="20:20" x14ac:dyDescent="0.25">
      <c r="T3023" s="1"/>
    </row>
    <row r="3024" spans="20:20" x14ac:dyDescent="0.25">
      <c r="T3024" s="1"/>
    </row>
    <row r="3025" spans="20:20" x14ac:dyDescent="0.25">
      <c r="T3025" s="1"/>
    </row>
    <row r="3026" spans="20:20" x14ac:dyDescent="0.25">
      <c r="T3026" s="1"/>
    </row>
    <row r="3027" spans="20:20" x14ac:dyDescent="0.25">
      <c r="T3027" s="1"/>
    </row>
    <row r="3028" spans="20:20" x14ac:dyDescent="0.25">
      <c r="T3028" s="1"/>
    </row>
    <row r="3029" spans="20:20" x14ac:dyDescent="0.25">
      <c r="T3029" s="1"/>
    </row>
    <row r="3030" spans="20:20" x14ac:dyDescent="0.25">
      <c r="T3030" s="1"/>
    </row>
    <row r="3031" spans="20:20" x14ac:dyDescent="0.25">
      <c r="T3031" s="1"/>
    </row>
    <row r="3032" spans="20:20" x14ac:dyDescent="0.25">
      <c r="T3032" s="1"/>
    </row>
    <row r="3033" spans="20:20" x14ac:dyDescent="0.25">
      <c r="T3033" s="1"/>
    </row>
    <row r="3034" spans="20:20" x14ac:dyDescent="0.25">
      <c r="T3034" s="1"/>
    </row>
    <row r="3035" spans="20:20" x14ac:dyDescent="0.25">
      <c r="T3035" s="1"/>
    </row>
    <row r="3036" spans="20:20" x14ac:dyDescent="0.25">
      <c r="T3036" s="1"/>
    </row>
    <row r="3037" spans="20:20" x14ac:dyDescent="0.25">
      <c r="T3037" s="1"/>
    </row>
    <row r="3038" spans="20:20" x14ac:dyDescent="0.25">
      <c r="T3038" s="1"/>
    </row>
    <row r="3039" spans="20:20" x14ac:dyDescent="0.25">
      <c r="T3039" s="1"/>
    </row>
    <row r="3040" spans="20:20" x14ac:dyDescent="0.25">
      <c r="T3040" s="1"/>
    </row>
    <row r="3041" spans="20:20" x14ac:dyDescent="0.25">
      <c r="T3041" s="1"/>
    </row>
    <row r="3042" spans="20:20" x14ac:dyDescent="0.25">
      <c r="T3042" s="1"/>
    </row>
    <row r="3043" spans="20:20" x14ac:dyDescent="0.25">
      <c r="T3043" s="1"/>
    </row>
    <row r="3044" spans="20:20" x14ac:dyDescent="0.25">
      <c r="T3044" s="1"/>
    </row>
    <row r="3045" spans="20:20" x14ac:dyDescent="0.25">
      <c r="T3045" s="1"/>
    </row>
    <row r="3046" spans="20:20" x14ac:dyDescent="0.25">
      <c r="T3046" s="1"/>
    </row>
    <row r="3047" spans="20:20" x14ac:dyDescent="0.25">
      <c r="T3047" s="1"/>
    </row>
    <row r="3048" spans="20:20" x14ac:dyDescent="0.25">
      <c r="T3048" s="1"/>
    </row>
    <row r="3049" spans="20:20" x14ac:dyDescent="0.25">
      <c r="T3049" s="1"/>
    </row>
    <row r="3050" spans="20:20" x14ac:dyDescent="0.25">
      <c r="T3050" s="1"/>
    </row>
    <row r="3051" spans="20:20" x14ac:dyDescent="0.25">
      <c r="T3051" s="1"/>
    </row>
    <row r="3052" spans="20:20" x14ac:dyDescent="0.25">
      <c r="T3052" s="1"/>
    </row>
    <row r="3053" spans="20:20" x14ac:dyDescent="0.25">
      <c r="T3053" s="1"/>
    </row>
    <row r="3054" spans="20:20" x14ac:dyDescent="0.25">
      <c r="T3054" s="1"/>
    </row>
    <row r="3055" spans="20:20" x14ac:dyDescent="0.25">
      <c r="T3055" s="1"/>
    </row>
    <row r="3056" spans="20:20" x14ac:dyDescent="0.25">
      <c r="T3056" s="1"/>
    </row>
    <row r="3057" spans="20:20" x14ac:dyDescent="0.25">
      <c r="T3057" s="1"/>
    </row>
    <row r="3058" spans="20:20" x14ac:dyDescent="0.25">
      <c r="T3058" s="1"/>
    </row>
    <row r="3059" spans="20:20" x14ac:dyDescent="0.25">
      <c r="T3059" s="1"/>
    </row>
    <row r="3060" spans="20:20" x14ac:dyDescent="0.25">
      <c r="T3060" s="1"/>
    </row>
    <row r="3061" spans="20:20" x14ac:dyDescent="0.25">
      <c r="T3061" s="1"/>
    </row>
    <row r="3062" spans="20:20" x14ac:dyDescent="0.25">
      <c r="T3062" s="1"/>
    </row>
    <row r="3063" spans="20:20" x14ac:dyDescent="0.25">
      <c r="T3063" s="1"/>
    </row>
    <row r="3064" spans="20:20" x14ac:dyDescent="0.25">
      <c r="T3064" s="1"/>
    </row>
    <row r="3065" spans="20:20" x14ac:dyDescent="0.25">
      <c r="T3065" s="1"/>
    </row>
    <row r="3066" spans="20:20" x14ac:dyDescent="0.25">
      <c r="T3066" s="1"/>
    </row>
    <row r="3067" spans="20:20" x14ac:dyDescent="0.25">
      <c r="T3067" s="1"/>
    </row>
    <row r="3068" spans="20:20" x14ac:dyDescent="0.25">
      <c r="T3068" s="1"/>
    </row>
    <row r="3069" spans="20:20" x14ac:dyDescent="0.25">
      <c r="T3069" s="1"/>
    </row>
    <row r="3070" spans="20:20" x14ac:dyDescent="0.25">
      <c r="T3070" s="1"/>
    </row>
    <row r="3071" spans="20:20" x14ac:dyDescent="0.25">
      <c r="T3071" s="1"/>
    </row>
    <row r="3072" spans="20:20" x14ac:dyDescent="0.25">
      <c r="T3072" s="1"/>
    </row>
    <row r="3073" spans="20:20" x14ac:dyDescent="0.25">
      <c r="T3073" s="1"/>
    </row>
    <row r="3074" spans="20:20" x14ac:dyDescent="0.25">
      <c r="T3074" s="1"/>
    </row>
    <row r="3075" spans="20:20" x14ac:dyDescent="0.25">
      <c r="T3075" s="1"/>
    </row>
    <row r="3076" spans="20:20" x14ac:dyDescent="0.25">
      <c r="T3076" s="1"/>
    </row>
    <row r="3077" spans="20:20" x14ac:dyDescent="0.25">
      <c r="T3077" s="1"/>
    </row>
    <row r="3078" spans="20:20" x14ac:dyDescent="0.25">
      <c r="T3078" s="1"/>
    </row>
    <row r="3079" spans="20:20" x14ac:dyDescent="0.25">
      <c r="T3079" s="1"/>
    </row>
    <row r="3080" spans="20:20" x14ac:dyDescent="0.25">
      <c r="T3080" s="1"/>
    </row>
    <row r="3081" spans="20:20" x14ac:dyDescent="0.25">
      <c r="T3081" s="1"/>
    </row>
    <row r="3082" spans="20:20" x14ac:dyDescent="0.25">
      <c r="T3082" s="1"/>
    </row>
    <row r="3083" spans="20:20" x14ac:dyDescent="0.25">
      <c r="T3083" s="1"/>
    </row>
    <row r="3084" spans="20:20" x14ac:dyDescent="0.25">
      <c r="T3084" s="1"/>
    </row>
    <row r="3085" spans="20:20" x14ac:dyDescent="0.25">
      <c r="T3085" s="1"/>
    </row>
    <row r="3086" spans="20:20" x14ac:dyDescent="0.25">
      <c r="T3086" s="1"/>
    </row>
    <row r="3087" spans="20:20" x14ac:dyDescent="0.25">
      <c r="T3087" s="1"/>
    </row>
    <row r="3088" spans="20:20" x14ac:dyDescent="0.25">
      <c r="T3088" s="1"/>
    </row>
    <row r="3089" spans="20:20" x14ac:dyDescent="0.25">
      <c r="T3089" s="1"/>
    </row>
    <row r="3090" spans="20:20" x14ac:dyDescent="0.25">
      <c r="T3090" s="1"/>
    </row>
    <row r="3091" spans="20:20" x14ac:dyDescent="0.25">
      <c r="T3091" s="1"/>
    </row>
    <row r="3092" spans="20:20" x14ac:dyDescent="0.25">
      <c r="T3092" s="1"/>
    </row>
    <row r="3093" spans="20:20" x14ac:dyDescent="0.25">
      <c r="T3093" s="1"/>
    </row>
    <row r="3094" spans="20:20" x14ac:dyDescent="0.25">
      <c r="T3094" s="1"/>
    </row>
    <row r="3095" spans="20:20" x14ac:dyDescent="0.25">
      <c r="T3095" s="1"/>
    </row>
    <row r="3096" spans="20:20" x14ac:dyDescent="0.25">
      <c r="T3096" s="1"/>
    </row>
    <row r="3097" spans="20:20" x14ac:dyDescent="0.25">
      <c r="T3097" s="1"/>
    </row>
    <row r="3098" spans="20:20" x14ac:dyDescent="0.25">
      <c r="T3098" s="1"/>
    </row>
    <row r="3099" spans="20:20" x14ac:dyDescent="0.25">
      <c r="T3099" s="1"/>
    </row>
    <row r="3100" spans="20:20" x14ac:dyDescent="0.25">
      <c r="T3100" s="1"/>
    </row>
    <row r="3101" spans="20:20" x14ac:dyDescent="0.25">
      <c r="T3101" s="1"/>
    </row>
    <row r="3102" spans="20:20" x14ac:dyDescent="0.25">
      <c r="T3102" s="1"/>
    </row>
    <row r="3103" spans="20:20" x14ac:dyDescent="0.25">
      <c r="T3103" s="1"/>
    </row>
    <row r="3104" spans="20:20" x14ac:dyDescent="0.25">
      <c r="T3104" s="1"/>
    </row>
    <row r="3105" spans="20:20" x14ac:dyDescent="0.25">
      <c r="T3105" s="1"/>
    </row>
    <row r="3106" spans="20:20" x14ac:dyDescent="0.25">
      <c r="T3106" s="1"/>
    </row>
    <row r="3107" spans="20:20" x14ac:dyDescent="0.25">
      <c r="T3107" s="1"/>
    </row>
    <row r="3108" spans="20:20" x14ac:dyDescent="0.25">
      <c r="T3108" s="1"/>
    </row>
    <row r="3109" spans="20:20" x14ac:dyDescent="0.25">
      <c r="T3109" s="1"/>
    </row>
    <row r="3110" spans="20:20" x14ac:dyDescent="0.25">
      <c r="T3110" s="1"/>
    </row>
    <row r="3111" spans="20:20" x14ac:dyDescent="0.25">
      <c r="T3111" s="1"/>
    </row>
    <row r="3112" spans="20:20" x14ac:dyDescent="0.25">
      <c r="T3112" s="1"/>
    </row>
    <row r="3113" spans="20:20" x14ac:dyDescent="0.25">
      <c r="T3113" s="1"/>
    </row>
    <row r="3114" spans="20:20" x14ac:dyDescent="0.25">
      <c r="T3114" s="1"/>
    </row>
    <row r="3115" spans="20:20" x14ac:dyDescent="0.25">
      <c r="T3115" s="1"/>
    </row>
    <row r="3116" spans="20:20" x14ac:dyDescent="0.25">
      <c r="T3116" s="1"/>
    </row>
    <row r="3117" spans="20:20" x14ac:dyDescent="0.25">
      <c r="T3117" s="1"/>
    </row>
    <row r="3118" spans="20:20" x14ac:dyDescent="0.25">
      <c r="T3118" s="1"/>
    </row>
    <row r="3119" spans="20:20" x14ac:dyDescent="0.25">
      <c r="T3119" s="1"/>
    </row>
    <row r="3120" spans="20:20" x14ac:dyDescent="0.25">
      <c r="T3120" s="1"/>
    </row>
    <row r="3121" spans="20:20" x14ac:dyDescent="0.25">
      <c r="T3121" s="1"/>
    </row>
    <row r="3122" spans="20:20" x14ac:dyDescent="0.25">
      <c r="T3122" s="1"/>
    </row>
    <row r="3123" spans="20:20" x14ac:dyDescent="0.25">
      <c r="T3123" s="1"/>
    </row>
    <row r="3124" spans="20:20" x14ac:dyDescent="0.25">
      <c r="T3124" s="1"/>
    </row>
    <row r="3125" spans="20:20" x14ac:dyDescent="0.25">
      <c r="T3125" s="1"/>
    </row>
    <row r="3126" spans="20:20" x14ac:dyDescent="0.25">
      <c r="T3126" s="1"/>
    </row>
    <row r="3127" spans="20:20" x14ac:dyDescent="0.25">
      <c r="T3127" s="1"/>
    </row>
    <row r="3128" spans="20:20" x14ac:dyDescent="0.25">
      <c r="T3128" s="1"/>
    </row>
    <row r="3129" spans="20:20" x14ac:dyDescent="0.25">
      <c r="T3129" s="1"/>
    </row>
    <row r="3130" spans="20:20" x14ac:dyDescent="0.25">
      <c r="T3130" s="1"/>
    </row>
    <row r="3131" spans="20:20" x14ac:dyDescent="0.25">
      <c r="T3131" s="1"/>
    </row>
    <row r="3132" spans="20:20" x14ac:dyDescent="0.25">
      <c r="T3132" s="1"/>
    </row>
    <row r="3133" spans="20:20" x14ac:dyDescent="0.25">
      <c r="T3133" s="1"/>
    </row>
    <row r="3134" spans="20:20" x14ac:dyDescent="0.25">
      <c r="T3134" s="1"/>
    </row>
    <row r="3135" spans="20:20" x14ac:dyDescent="0.25">
      <c r="T3135" s="1"/>
    </row>
    <row r="3136" spans="20:20" x14ac:dyDescent="0.25">
      <c r="T3136" s="1"/>
    </row>
    <row r="3137" spans="20:20" x14ac:dyDescent="0.25">
      <c r="T3137" s="1"/>
    </row>
    <row r="3138" spans="20:20" x14ac:dyDescent="0.25">
      <c r="T3138" s="1"/>
    </row>
    <row r="3139" spans="20:20" x14ac:dyDescent="0.25">
      <c r="T3139" s="1"/>
    </row>
    <row r="3140" spans="20:20" x14ac:dyDescent="0.25">
      <c r="T3140" s="1"/>
    </row>
    <row r="3141" spans="20:20" x14ac:dyDescent="0.25">
      <c r="T3141" s="1"/>
    </row>
    <row r="3142" spans="20:20" x14ac:dyDescent="0.25">
      <c r="T3142" s="1"/>
    </row>
    <row r="3143" spans="20:20" x14ac:dyDescent="0.25">
      <c r="T3143" s="1"/>
    </row>
    <row r="3144" spans="20:20" x14ac:dyDescent="0.25">
      <c r="T3144" s="1"/>
    </row>
    <row r="3145" spans="20:20" x14ac:dyDescent="0.25">
      <c r="T3145" s="1"/>
    </row>
    <row r="3146" spans="20:20" x14ac:dyDescent="0.25">
      <c r="T3146" s="1"/>
    </row>
    <row r="3147" spans="20:20" x14ac:dyDescent="0.25">
      <c r="T3147" s="1"/>
    </row>
    <row r="3148" spans="20:20" x14ac:dyDescent="0.25">
      <c r="T3148" s="1"/>
    </row>
    <row r="3149" spans="20:20" x14ac:dyDescent="0.25">
      <c r="T3149" s="1"/>
    </row>
    <row r="3150" spans="20:20" x14ac:dyDescent="0.25">
      <c r="T3150" s="1"/>
    </row>
    <row r="3151" spans="20:20" x14ac:dyDescent="0.25">
      <c r="T3151" s="1"/>
    </row>
    <row r="3152" spans="20:20" x14ac:dyDescent="0.25">
      <c r="T3152" s="1"/>
    </row>
    <row r="3153" spans="20:20" x14ac:dyDescent="0.25">
      <c r="T3153" s="1"/>
    </row>
    <row r="3154" spans="20:20" x14ac:dyDescent="0.25">
      <c r="T3154" s="1"/>
    </row>
    <row r="3155" spans="20:20" x14ac:dyDescent="0.25">
      <c r="T3155" s="1"/>
    </row>
    <row r="3156" spans="20:20" x14ac:dyDescent="0.25">
      <c r="T3156" s="1"/>
    </row>
    <row r="3157" spans="20:20" x14ac:dyDescent="0.25">
      <c r="T3157" s="1"/>
    </row>
    <row r="3158" spans="20:20" x14ac:dyDescent="0.25">
      <c r="T3158" s="1"/>
    </row>
    <row r="3159" spans="20:20" x14ac:dyDescent="0.25">
      <c r="T3159" s="1"/>
    </row>
    <row r="3160" spans="20:20" x14ac:dyDescent="0.25">
      <c r="T3160" s="1"/>
    </row>
    <row r="3161" spans="20:20" x14ac:dyDescent="0.25">
      <c r="T3161" s="1"/>
    </row>
    <row r="3162" spans="20:20" x14ac:dyDescent="0.25">
      <c r="T3162" s="1"/>
    </row>
    <row r="3163" spans="20:20" x14ac:dyDescent="0.25">
      <c r="T3163" s="1"/>
    </row>
    <row r="3164" spans="20:20" x14ac:dyDescent="0.25">
      <c r="T3164" s="1"/>
    </row>
    <row r="3165" spans="20:20" x14ac:dyDescent="0.25">
      <c r="T3165" s="1"/>
    </row>
    <row r="3166" spans="20:20" x14ac:dyDescent="0.25">
      <c r="T3166" s="1"/>
    </row>
    <row r="3167" spans="20:20" x14ac:dyDescent="0.25">
      <c r="T3167" s="1"/>
    </row>
    <row r="3168" spans="20:20" x14ac:dyDescent="0.25">
      <c r="T3168" s="1"/>
    </row>
    <row r="3169" spans="20:20" x14ac:dyDescent="0.25">
      <c r="T3169" s="1"/>
    </row>
    <row r="3170" spans="20:20" x14ac:dyDescent="0.25">
      <c r="T3170" s="1"/>
    </row>
    <row r="3171" spans="20:20" x14ac:dyDescent="0.25">
      <c r="T3171" s="1"/>
    </row>
    <row r="3172" spans="20:20" x14ac:dyDescent="0.25">
      <c r="T3172" s="1"/>
    </row>
    <row r="3173" spans="20:20" x14ac:dyDescent="0.25">
      <c r="T3173" s="1"/>
    </row>
    <row r="3174" spans="20:20" x14ac:dyDescent="0.25">
      <c r="T3174" s="1"/>
    </row>
    <row r="3175" spans="20:20" x14ac:dyDescent="0.25">
      <c r="T3175" s="1"/>
    </row>
    <row r="3176" spans="20:20" x14ac:dyDescent="0.25">
      <c r="T3176" s="1"/>
    </row>
    <row r="3177" spans="20:20" x14ac:dyDescent="0.25">
      <c r="T3177" s="1"/>
    </row>
    <row r="3178" spans="20:20" x14ac:dyDescent="0.25">
      <c r="T3178" s="1"/>
    </row>
    <row r="3179" spans="20:20" x14ac:dyDescent="0.25">
      <c r="T3179" s="1"/>
    </row>
    <row r="3180" spans="20:20" x14ac:dyDescent="0.25">
      <c r="T3180" s="1"/>
    </row>
    <row r="3181" spans="20:20" x14ac:dyDescent="0.25">
      <c r="T3181" s="1"/>
    </row>
    <row r="3182" spans="20:20" x14ac:dyDescent="0.25">
      <c r="T3182" s="1"/>
    </row>
    <row r="3183" spans="20:20" x14ac:dyDescent="0.25">
      <c r="T3183" s="1"/>
    </row>
    <row r="3184" spans="20:20" x14ac:dyDescent="0.25">
      <c r="T3184" s="1"/>
    </row>
    <row r="3185" spans="20:20" x14ac:dyDescent="0.25">
      <c r="T3185" s="1"/>
    </row>
    <row r="3186" spans="20:20" x14ac:dyDescent="0.25">
      <c r="T3186" s="1"/>
    </row>
    <row r="3187" spans="20:20" x14ac:dyDescent="0.25">
      <c r="T3187" s="1"/>
    </row>
    <row r="3188" spans="20:20" x14ac:dyDescent="0.25">
      <c r="T3188" s="1"/>
    </row>
    <row r="3189" spans="20:20" x14ac:dyDescent="0.25">
      <c r="T3189" s="1"/>
    </row>
    <row r="3190" spans="20:20" x14ac:dyDescent="0.25">
      <c r="T3190" s="1"/>
    </row>
    <row r="3191" spans="20:20" x14ac:dyDescent="0.25">
      <c r="T3191" s="1"/>
    </row>
    <row r="3192" spans="20:20" x14ac:dyDescent="0.25">
      <c r="T3192" s="1"/>
    </row>
    <row r="3193" spans="20:20" x14ac:dyDescent="0.25">
      <c r="T3193" s="1"/>
    </row>
    <row r="3194" spans="20:20" x14ac:dyDescent="0.25">
      <c r="T3194" s="1"/>
    </row>
    <row r="3195" spans="20:20" x14ac:dyDescent="0.25">
      <c r="T3195" s="1"/>
    </row>
    <row r="3196" spans="20:20" x14ac:dyDescent="0.25">
      <c r="T3196" s="1"/>
    </row>
    <row r="3197" spans="20:20" x14ac:dyDescent="0.25">
      <c r="T3197" s="1"/>
    </row>
    <row r="3198" spans="20:20" x14ac:dyDescent="0.25">
      <c r="T3198" s="1"/>
    </row>
    <row r="3199" spans="20:20" x14ac:dyDescent="0.25">
      <c r="T3199" s="1"/>
    </row>
    <row r="3200" spans="20:20" x14ac:dyDescent="0.25">
      <c r="T3200" s="1"/>
    </row>
    <row r="3201" spans="20:20" x14ac:dyDescent="0.25">
      <c r="T3201" s="1"/>
    </row>
    <row r="3202" spans="20:20" x14ac:dyDescent="0.25">
      <c r="T3202" s="1"/>
    </row>
    <row r="3203" spans="20:20" x14ac:dyDescent="0.25">
      <c r="T3203" s="1"/>
    </row>
    <row r="3204" spans="20:20" x14ac:dyDescent="0.25">
      <c r="T3204" s="1"/>
    </row>
    <row r="3205" spans="20:20" x14ac:dyDescent="0.25">
      <c r="T3205" s="1"/>
    </row>
    <row r="3206" spans="20:20" x14ac:dyDescent="0.25">
      <c r="T3206" s="1"/>
    </row>
    <row r="3207" spans="20:20" x14ac:dyDescent="0.25">
      <c r="T3207" s="1"/>
    </row>
    <row r="3208" spans="20:20" x14ac:dyDescent="0.25">
      <c r="T3208" s="1"/>
    </row>
    <row r="3209" spans="20:20" x14ac:dyDescent="0.25">
      <c r="T3209" s="1"/>
    </row>
    <row r="3210" spans="20:20" x14ac:dyDescent="0.25">
      <c r="T3210" s="1"/>
    </row>
    <row r="3211" spans="20:20" x14ac:dyDescent="0.25">
      <c r="T3211" s="1"/>
    </row>
    <row r="3212" spans="20:20" x14ac:dyDescent="0.25">
      <c r="T3212" s="1"/>
    </row>
    <row r="3213" spans="20:20" x14ac:dyDescent="0.25">
      <c r="T3213" s="1"/>
    </row>
    <row r="3214" spans="20:20" x14ac:dyDescent="0.25">
      <c r="T3214" s="1"/>
    </row>
    <row r="3215" spans="20:20" x14ac:dyDescent="0.25">
      <c r="T3215" s="1"/>
    </row>
    <row r="3216" spans="20:20" x14ac:dyDescent="0.25">
      <c r="T3216" s="1"/>
    </row>
    <row r="3217" spans="20:20" x14ac:dyDescent="0.25">
      <c r="T3217" s="1"/>
    </row>
    <row r="3218" spans="20:20" x14ac:dyDescent="0.25">
      <c r="T3218" s="1"/>
    </row>
    <row r="3219" spans="20:20" x14ac:dyDescent="0.25">
      <c r="T3219" s="1"/>
    </row>
    <row r="3220" spans="20:20" x14ac:dyDescent="0.25">
      <c r="T3220" s="1"/>
    </row>
    <row r="3221" spans="20:20" x14ac:dyDescent="0.25">
      <c r="T3221" s="1"/>
    </row>
    <row r="3222" spans="20:20" x14ac:dyDescent="0.25">
      <c r="T3222" s="1"/>
    </row>
    <row r="3223" spans="20:20" x14ac:dyDescent="0.25">
      <c r="T3223" s="1"/>
    </row>
    <row r="3224" spans="20:20" x14ac:dyDescent="0.25">
      <c r="T3224" s="1"/>
    </row>
    <row r="3225" spans="20:20" x14ac:dyDescent="0.25">
      <c r="T3225" s="1"/>
    </row>
    <row r="3226" spans="20:20" x14ac:dyDescent="0.25">
      <c r="T3226" s="1"/>
    </row>
    <row r="3227" spans="20:20" x14ac:dyDescent="0.25">
      <c r="T3227" s="1"/>
    </row>
    <row r="3228" spans="20:20" x14ac:dyDescent="0.25">
      <c r="T3228" s="1"/>
    </row>
    <row r="3229" spans="20:20" x14ac:dyDescent="0.25">
      <c r="T3229" s="1"/>
    </row>
    <row r="3230" spans="20:20" x14ac:dyDescent="0.25">
      <c r="T3230" s="1"/>
    </row>
    <row r="3231" spans="20:20" x14ac:dyDescent="0.25">
      <c r="T3231" s="1"/>
    </row>
    <row r="3232" spans="20:20" x14ac:dyDescent="0.25">
      <c r="T3232" s="1"/>
    </row>
    <row r="3233" spans="20:20" x14ac:dyDescent="0.25">
      <c r="T3233" s="1"/>
    </row>
    <row r="3234" spans="20:20" x14ac:dyDescent="0.25">
      <c r="T3234" s="1"/>
    </row>
    <row r="3235" spans="20:20" x14ac:dyDescent="0.25">
      <c r="T3235" s="1"/>
    </row>
    <row r="3236" spans="20:20" x14ac:dyDescent="0.25">
      <c r="T3236" s="1"/>
    </row>
    <row r="3237" spans="20:20" x14ac:dyDescent="0.25">
      <c r="T3237" s="1"/>
    </row>
    <row r="3238" spans="20:20" x14ac:dyDescent="0.25">
      <c r="T3238" s="1"/>
    </row>
    <row r="3239" spans="20:20" x14ac:dyDescent="0.25">
      <c r="T3239" s="1"/>
    </row>
    <row r="3240" spans="20:20" x14ac:dyDescent="0.25">
      <c r="T3240" s="1"/>
    </row>
    <row r="3241" spans="20:20" x14ac:dyDescent="0.25">
      <c r="T3241" s="1"/>
    </row>
    <row r="3242" spans="20:20" x14ac:dyDescent="0.25">
      <c r="T3242" s="1"/>
    </row>
    <row r="3243" spans="20:20" x14ac:dyDescent="0.25">
      <c r="T3243" s="1"/>
    </row>
    <row r="3244" spans="20:20" x14ac:dyDescent="0.25">
      <c r="T3244" s="1"/>
    </row>
    <row r="3245" spans="20:20" x14ac:dyDescent="0.25">
      <c r="T3245" s="1"/>
    </row>
    <row r="3246" spans="20:20" x14ac:dyDescent="0.25">
      <c r="T3246" s="1"/>
    </row>
    <row r="3247" spans="20:20" x14ac:dyDescent="0.25">
      <c r="T3247" s="1"/>
    </row>
    <row r="3248" spans="20:20" x14ac:dyDescent="0.25">
      <c r="T3248" s="1"/>
    </row>
    <row r="3249" spans="20:20" x14ac:dyDescent="0.25">
      <c r="T3249" s="1"/>
    </row>
    <row r="3250" spans="20:20" x14ac:dyDescent="0.25">
      <c r="T3250" s="1"/>
    </row>
    <row r="3251" spans="20:20" x14ac:dyDescent="0.25">
      <c r="T3251" s="1"/>
    </row>
    <row r="3252" spans="20:20" x14ac:dyDescent="0.25">
      <c r="T3252" s="1"/>
    </row>
    <row r="3253" spans="20:20" x14ac:dyDescent="0.25">
      <c r="T3253" s="1"/>
    </row>
    <row r="3254" spans="20:20" x14ac:dyDescent="0.25">
      <c r="T3254" s="1"/>
    </row>
    <row r="3255" spans="20:20" x14ac:dyDescent="0.25">
      <c r="T3255" s="1"/>
    </row>
    <row r="3256" spans="20:20" x14ac:dyDescent="0.25">
      <c r="T3256" s="1"/>
    </row>
    <row r="3257" spans="20:20" x14ac:dyDescent="0.25">
      <c r="T3257" s="1"/>
    </row>
    <row r="3258" spans="20:20" x14ac:dyDescent="0.25">
      <c r="T3258" s="1"/>
    </row>
    <row r="3259" spans="20:20" x14ac:dyDescent="0.25">
      <c r="T3259" s="1"/>
    </row>
    <row r="3260" spans="20:20" x14ac:dyDescent="0.25">
      <c r="T3260" s="1"/>
    </row>
    <row r="3261" spans="20:20" x14ac:dyDescent="0.25">
      <c r="T3261" s="1"/>
    </row>
    <row r="3262" spans="20:20" x14ac:dyDescent="0.25">
      <c r="T3262" s="1"/>
    </row>
    <row r="3263" spans="20:20" x14ac:dyDescent="0.25">
      <c r="T3263" s="1"/>
    </row>
    <row r="3264" spans="20:20" x14ac:dyDescent="0.25">
      <c r="T3264" s="1"/>
    </row>
    <row r="3265" spans="20:20" x14ac:dyDescent="0.25">
      <c r="T3265" s="1"/>
    </row>
    <row r="3266" spans="20:20" x14ac:dyDescent="0.25">
      <c r="T3266" s="1"/>
    </row>
    <row r="3267" spans="20:20" x14ac:dyDescent="0.25">
      <c r="T3267" s="1"/>
    </row>
    <row r="3268" spans="20:20" x14ac:dyDescent="0.25">
      <c r="T3268" s="1"/>
    </row>
    <row r="3269" spans="20:20" x14ac:dyDescent="0.25">
      <c r="T3269" s="1"/>
    </row>
    <row r="3270" spans="20:20" x14ac:dyDescent="0.25">
      <c r="T3270" s="1"/>
    </row>
    <row r="3271" spans="20:20" x14ac:dyDescent="0.25">
      <c r="T3271" s="1"/>
    </row>
    <row r="3272" spans="20:20" x14ac:dyDescent="0.25">
      <c r="T3272" s="1"/>
    </row>
    <row r="3273" spans="20:20" x14ac:dyDescent="0.25">
      <c r="T3273" s="1"/>
    </row>
    <row r="3274" spans="20:20" x14ac:dyDescent="0.25">
      <c r="T3274" s="1"/>
    </row>
    <row r="3275" spans="20:20" x14ac:dyDescent="0.25">
      <c r="T3275" s="1"/>
    </row>
    <row r="3276" spans="20:20" x14ac:dyDescent="0.25">
      <c r="T3276" s="1"/>
    </row>
    <row r="3277" spans="20:20" x14ac:dyDescent="0.25">
      <c r="T3277" s="1"/>
    </row>
    <row r="3278" spans="20:20" x14ac:dyDescent="0.25">
      <c r="T3278" s="1"/>
    </row>
    <row r="3279" spans="20:20" x14ac:dyDescent="0.25">
      <c r="T3279" s="1"/>
    </row>
    <row r="3280" spans="20:20" x14ac:dyDescent="0.25">
      <c r="T3280" s="1"/>
    </row>
    <row r="3281" spans="20:20" x14ac:dyDescent="0.25">
      <c r="T3281" s="1"/>
    </row>
    <row r="3282" spans="20:20" x14ac:dyDescent="0.25">
      <c r="T3282" s="1"/>
    </row>
    <row r="3283" spans="20:20" x14ac:dyDescent="0.25">
      <c r="T3283" s="1"/>
    </row>
    <row r="3284" spans="20:20" x14ac:dyDescent="0.25">
      <c r="T3284" s="1"/>
    </row>
    <row r="3285" spans="20:20" x14ac:dyDescent="0.25">
      <c r="T3285" s="1"/>
    </row>
    <row r="3286" spans="20:20" x14ac:dyDescent="0.25">
      <c r="T3286" s="1"/>
    </row>
    <row r="3287" spans="20:20" x14ac:dyDescent="0.25">
      <c r="T3287" s="1"/>
    </row>
    <row r="3288" spans="20:20" x14ac:dyDescent="0.25">
      <c r="T3288" s="1"/>
    </row>
    <row r="3289" spans="20:20" x14ac:dyDescent="0.25">
      <c r="T3289" s="1"/>
    </row>
    <row r="3290" spans="20:20" x14ac:dyDescent="0.25">
      <c r="T3290" s="1"/>
    </row>
    <row r="3291" spans="20:20" x14ac:dyDescent="0.25">
      <c r="T3291" s="1"/>
    </row>
    <row r="3292" spans="20:20" x14ac:dyDescent="0.25">
      <c r="T3292" s="1"/>
    </row>
    <row r="3293" spans="20:20" x14ac:dyDescent="0.25">
      <c r="T3293" s="1"/>
    </row>
    <row r="3294" spans="20:20" x14ac:dyDescent="0.25">
      <c r="T3294" s="1"/>
    </row>
    <row r="3295" spans="20:20" x14ac:dyDescent="0.25">
      <c r="T3295" s="1"/>
    </row>
    <row r="3296" spans="20:20" x14ac:dyDescent="0.25">
      <c r="T3296" s="1"/>
    </row>
    <row r="3297" spans="20:20" x14ac:dyDescent="0.25">
      <c r="T3297" s="1"/>
    </row>
    <row r="3298" spans="20:20" x14ac:dyDescent="0.25">
      <c r="T3298" s="1"/>
    </row>
    <row r="3299" spans="20:20" x14ac:dyDescent="0.25">
      <c r="T3299" s="1"/>
    </row>
    <row r="3300" spans="20:20" x14ac:dyDescent="0.25">
      <c r="T3300" s="1"/>
    </row>
    <row r="3301" spans="20:20" x14ac:dyDescent="0.25">
      <c r="T3301" s="1"/>
    </row>
    <row r="3302" spans="20:20" x14ac:dyDescent="0.25">
      <c r="T3302" s="1"/>
    </row>
    <row r="3303" spans="20:20" x14ac:dyDescent="0.25">
      <c r="T3303" s="1"/>
    </row>
    <row r="3304" spans="20:20" x14ac:dyDescent="0.25">
      <c r="T3304" s="1"/>
    </row>
    <row r="3305" spans="20:20" x14ac:dyDescent="0.25">
      <c r="T3305" s="1"/>
    </row>
    <row r="3306" spans="20:20" x14ac:dyDescent="0.25">
      <c r="T3306" s="1"/>
    </row>
    <row r="3307" spans="20:20" x14ac:dyDescent="0.25">
      <c r="T3307" s="1"/>
    </row>
    <row r="3308" spans="20:20" x14ac:dyDescent="0.25">
      <c r="T3308" s="1"/>
    </row>
    <row r="3309" spans="20:20" x14ac:dyDescent="0.25">
      <c r="T3309" s="1"/>
    </row>
    <row r="3310" spans="20:20" x14ac:dyDescent="0.25">
      <c r="T3310" s="1"/>
    </row>
    <row r="3311" spans="20:20" x14ac:dyDescent="0.25">
      <c r="T3311" s="1"/>
    </row>
    <row r="3312" spans="20:20" x14ac:dyDescent="0.25">
      <c r="T3312" s="1"/>
    </row>
    <row r="3313" spans="20:20" x14ac:dyDescent="0.25">
      <c r="T3313" s="1"/>
    </row>
    <row r="3314" spans="20:20" x14ac:dyDescent="0.25">
      <c r="T3314" s="1"/>
    </row>
    <row r="3315" spans="20:20" x14ac:dyDescent="0.25">
      <c r="T3315" s="1"/>
    </row>
    <row r="3316" spans="20:20" x14ac:dyDescent="0.25">
      <c r="T3316" s="1"/>
    </row>
    <row r="3317" spans="20:20" x14ac:dyDescent="0.25">
      <c r="T3317" s="1"/>
    </row>
    <row r="3318" spans="20:20" x14ac:dyDescent="0.25">
      <c r="T3318" s="1"/>
    </row>
    <row r="3319" spans="20:20" x14ac:dyDescent="0.25">
      <c r="T3319" s="1"/>
    </row>
    <row r="3320" spans="20:20" x14ac:dyDescent="0.25">
      <c r="T3320" s="1"/>
    </row>
    <row r="3321" spans="20:20" x14ac:dyDescent="0.25">
      <c r="T3321" s="1"/>
    </row>
    <row r="3322" spans="20:20" x14ac:dyDescent="0.25">
      <c r="T3322" s="1"/>
    </row>
    <row r="3323" spans="20:20" x14ac:dyDescent="0.25">
      <c r="T3323" s="1"/>
    </row>
    <row r="3324" spans="20:20" x14ac:dyDescent="0.25">
      <c r="T3324" s="1"/>
    </row>
    <row r="3325" spans="20:20" x14ac:dyDescent="0.25">
      <c r="T3325" s="1"/>
    </row>
    <row r="3326" spans="20:20" x14ac:dyDescent="0.25">
      <c r="T3326" s="1"/>
    </row>
    <row r="3327" spans="20:20" x14ac:dyDescent="0.25">
      <c r="T3327" s="1"/>
    </row>
    <row r="3328" spans="20:20" x14ac:dyDescent="0.25">
      <c r="T3328" s="1"/>
    </row>
    <row r="3329" spans="20:20" x14ac:dyDescent="0.25">
      <c r="T3329" s="1"/>
    </row>
    <row r="3330" spans="20:20" x14ac:dyDescent="0.25">
      <c r="T3330" s="1"/>
    </row>
    <row r="3331" spans="20:20" x14ac:dyDescent="0.25">
      <c r="T3331" s="1"/>
    </row>
    <row r="3332" spans="20:20" x14ac:dyDescent="0.25">
      <c r="T3332" s="1"/>
    </row>
    <row r="3333" spans="20:20" x14ac:dyDescent="0.25">
      <c r="T3333" s="1"/>
    </row>
    <row r="3334" spans="20:20" x14ac:dyDescent="0.25">
      <c r="T3334" s="1"/>
    </row>
    <row r="3335" spans="20:20" x14ac:dyDescent="0.25">
      <c r="T3335" s="1"/>
    </row>
    <row r="3336" spans="20:20" x14ac:dyDescent="0.25">
      <c r="T3336" s="1"/>
    </row>
    <row r="3337" spans="20:20" x14ac:dyDescent="0.25">
      <c r="T3337" s="1"/>
    </row>
    <row r="3338" spans="20:20" x14ac:dyDescent="0.25">
      <c r="T3338" s="1"/>
    </row>
    <row r="3339" spans="20:20" x14ac:dyDescent="0.25">
      <c r="T3339" s="1"/>
    </row>
    <row r="3340" spans="20:20" x14ac:dyDescent="0.25">
      <c r="T3340" s="1"/>
    </row>
    <row r="3341" spans="20:20" x14ac:dyDescent="0.25">
      <c r="T3341" s="1"/>
    </row>
    <row r="3342" spans="20:20" x14ac:dyDescent="0.25">
      <c r="T3342" s="1"/>
    </row>
    <row r="3343" spans="20:20" x14ac:dyDescent="0.25">
      <c r="T3343" s="1"/>
    </row>
    <row r="3344" spans="20:20" x14ac:dyDescent="0.25">
      <c r="T3344" s="1"/>
    </row>
    <row r="3345" spans="20:20" x14ac:dyDescent="0.25">
      <c r="T3345" s="1"/>
    </row>
    <row r="3346" spans="20:20" x14ac:dyDescent="0.25">
      <c r="T3346" s="1"/>
    </row>
    <row r="3347" spans="20:20" x14ac:dyDescent="0.25">
      <c r="T3347" s="1"/>
    </row>
    <row r="3348" spans="20:20" x14ac:dyDescent="0.25">
      <c r="T3348" s="1"/>
    </row>
    <row r="3349" spans="20:20" x14ac:dyDescent="0.25">
      <c r="T3349" s="1"/>
    </row>
    <row r="3350" spans="20:20" x14ac:dyDescent="0.25">
      <c r="T3350" s="1"/>
    </row>
    <row r="3351" spans="20:20" x14ac:dyDescent="0.25">
      <c r="T3351" s="1"/>
    </row>
    <row r="3352" spans="20:20" x14ac:dyDescent="0.25">
      <c r="T3352" s="1"/>
    </row>
    <row r="3353" spans="20:20" x14ac:dyDescent="0.25">
      <c r="T3353" s="1"/>
    </row>
    <row r="3354" spans="20:20" x14ac:dyDescent="0.25">
      <c r="T3354" s="1"/>
    </row>
    <row r="3355" spans="20:20" x14ac:dyDescent="0.25">
      <c r="T3355" s="1"/>
    </row>
    <row r="3356" spans="20:20" x14ac:dyDescent="0.25">
      <c r="T3356" s="1"/>
    </row>
    <row r="3357" spans="20:20" x14ac:dyDescent="0.25">
      <c r="T3357" s="1"/>
    </row>
    <row r="3358" spans="20:20" x14ac:dyDescent="0.25">
      <c r="T3358" s="1"/>
    </row>
    <row r="3359" spans="20:20" x14ac:dyDescent="0.25">
      <c r="T3359" s="1"/>
    </row>
    <row r="3360" spans="20:20" x14ac:dyDescent="0.25">
      <c r="T3360" s="1"/>
    </row>
    <row r="3361" spans="20:20" x14ac:dyDescent="0.25">
      <c r="T3361" s="1"/>
    </row>
    <row r="3362" spans="20:20" x14ac:dyDescent="0.25">
      <c r="T3362" s="1"/>
    </row>
    <row r="3363" spans="20:20" x14ac:dyDescent="0.25">
      <c r="T3363" s="1"/>
    </row>
    <row r="3364" spans="20:20" x14ac:dyDescent="0.25">
      <c r="T3364" s="1"/>
    </row>
    <row r="3365" spans="20:20" x14ac:dyDescent="0.25">
      <c r="T3365" s="1"/>
    </row>
    <row r="3366" spans="20:20" x14ac:dyDescent="0.25">
      <c r="T3366" s="1"/>
    </row>
    <row r="3367" spans="20:20" x14ac:dyDescent="0.25">
      <c r="T3367" s="1"/>
    </row>
    <row r="3368" spans="20:20" x14ac:dyDescent="0.25">
      <c r="T3368" s="1"/>
    </row>
    <row r="3369" spans="20:20" x14ac:dyDescent="0.25">
      <c r="T3369" s="1"/>
    </row>
    <row r="3370" spans="20:20" x14ac:dyDescent="0.25">
      <c r="T3370" s="1"/>
    </row>
    <row r="3371" spans="20:20" x14ac:dyDescent="0.25">
      <c r="T3371" s="1"/>
    </row>
    <row r="3372" spans="20:20" x14ac:dyDescent="0.25">
      <c r="T3372" s="1"/>
    </row>
    <row r="3373" spans="20:20" x14ac:dyDescent="0.25">
      <c r="T3373" s="1"/>
    </row>
    <row r="3374" spans="20:20" x14ac:dyDescent="0.25">
      <c r="T3374" s="1"/>
    </row>
    <row r="3375" spans="20:20" x14ac:dyDescent="0.25">
      <c r="T3375" s="1"/>
    </row>
    <row r="3376" spans="20:20" x14ac:dyDescent="0.25">
      <c r="T3376" s="1"/>
    </row>
    <row r="3377" spans="20:20" x14ac:dyDescent="0.25">
      <c r="T3377" s="1"/>
    </row>
    <row r="3378" spans="20:20" x14ac:dyDescent="0.25">
      <c r="T3378" s="1"/>
    </row>
    <row r="3379" spans="20:20" x14ac:dyDescent="0.25">
      <c r="T3379" s="1"/>
    </row>
    <row r="3380" spans="20:20" x14ac:dyDescent="0.25">
      <c r="T3380" s="1"/>
    </row>
    <row r="3381" spans="20:20" x14ac:dyDescent="0.25">
      <c r="T3381" s="1"/>
    </row>
    <row r="3382" spans="20:20" x14ac:dyDescent="0.25">
      <c r="T3382" s="1"/>
    </row>
    <row r="3383" spans="20:20" x14ac:dyDescent="0.25">
      <c r="T3383" s="1"/>
    </row>
    <row r="3384" spans="20:20" x14ac:dyDescent="0.25">
      <c r="T3384" s="1"/>
    </row>
    <row r="3385" spans="20:20" x14ac:dyDescent="0.25">
      <c r="T3385" s="1"/>
    </row>
    <row r="3386" spans="20:20" x14ac:dyDescent="0.25">
      <c r="T3386" s="1"/>
    </row>
    <row r="3387" spans="20:20" x14ac:dyDescent="0.25">
      <c r="T3387" s="1"/>
    </row>
    <row r="3388" spans="20:20" x14ac:dyDescent="0.25">
      <c r="T3388" s="1"/>
    </row>
    <row r="3389" spans="20:20" x14ac:dyDescent="0.25">
      <c r="T3389" s="1"/>
    </row>
    <row r="3390" spans="20:20" x14ac:dyDescent="0.25">
      <c r="T3390" s="1"/>
    </row>
    <row r="3391" spans="20:20" x14ac:dyDescent="0.25">
      <c r="T3391" s="1"/>
    </row>
    <row r="3392" spans="20:20" x14ac:dyDescent="0.25">
      <c r="T3392" s="1"/>
    </row>
    <row r="3393" spans="20:20" x14ac:dyDescent="0.25">
      <c r="T3393" s="1"/>
    </row>
    <row r="3394" spans="20:20" x14ac:dyDescent="0.25">
      <c r="T3394" s="1"/>
    </row>
    <row r="3395" spans="20:20" x14ac:dyDescent="0.25">
      <c r="T3395" s="1"/>
    </row>
    <row r="3396" spans="20:20" x14ac:dyDescent="0.25">
      <c r="T3396" s="1"/>
    </row>
    <row r="3397" spans="20:20" x14ac:dyDescent="0.25">
      <c r="T3397" s="1"/>
    </row>
    <row r="3398" spans="20:20" x14ac:dyDescent="0.25">
      <c r="T3398" s="1"/>
    </row>
    <row r="3399" spans="20:20" x14ac:dyDescent="0.25">
      <c r="T3399" s="1"/>
    </row>
    <row r="3400" spans="20:20" x14ac:dyDescent="0.25">
      <c r="T3400" s="1"/>
    </row>
    <row r="3401" spans="20:20" x14ac:dyDescent="0.25">
      <c r="T3401" s="1"/>
    </row>
    <row r="3402" spans="20:20" x14ac:dyDescent="0.25">
      <c r="T3402" s="1"/>
    </row>
    <row r="3403" spans="20:20" x14ac:dyDescent="0.25">
      <c r="T3403" s="1"/>
    </row>
    <row r="3404" spans="20:20" x14ac:dyDescent="0.25">
      <c r="T3404" s="1"/>
    </row>
    <row r="3405" spans="20:20" x14ac:dyDescent="0.25">
      <c r="T3405" s="1"/>
    </row>
    <row r="3406" spans="20:20" x14ac:dyDescent="0.25">
      <c r="T3406" s="1"/>
    </row>
    <row r="3407" spans="20:20" x14ac:dyDescent="0.25">
      <c r="T3407" s="1"/>
    </row>
    <row r="3408" spans="20:20" x14ac:dyDescent="0.25">
      <c r="T3408" s="1"/>
    </row>
    <row r="3409" spans="20:20" x14ac:dyDescent="0.25">
      <c r="T3409" s="1"/>
    </row>
    <row r="3410" spans="20:20" x14ac:dyDescent="0.25">
      <c r="T3410" s="1"/>
    </row>
    <row r="3411" spans="20:20" x14ac:dyDescent="0.25">
      <c r="T3411" s="1"/>
    </row>
    <row r="3412" spans="20:20" x14ac:dyDescent="0.25">
      <c r="T3412" s="1"/>
    </row>
    <row r="3413" spans="20:20" x14ac:dyDescent="0.25">
      <c r="T3413" s="1"/>
    </row>
    <row r="3414" spans="20:20" x14ac:dyDescent="0.25">
      <c r="T3414" s="1"/>
    </row>
    <row r="3415" spans="20:20" x14ac:dyDescent="0.25">
      <c r="T3415" s="1"/>
    </row>
    <row r="3416" spans="20:20" x14ac:dyDescent="0.25">
      <c r="T3416" s="1"/>
    </row>
    <row r="3417" spans="20:20" x14ac:dyDescent="0.25">
      <c r="T3417" s="1"/>
    </row>
    <row r="3418" spans="20:20" x14ac:dyDescent="0.25">
      <c r="T3418" s="1"/>
    </row>
    <row r="3419" spans="20:20" x14ac:dyDescent="0.25">
      <c r="T3419" s="1"/>
    </row>
    <row r="3420" spans="20:20" x14ac:dyDescent="0.25">
      <c r="T3420" s="1"/>
    </row>
    <row r="3421" spans="20:20" x14ac:dyDescent="0.25">
      <c r="T3421" s="1"/>
    </row>
    <row r="3422" spans="20:20" x14ac:dyDescent="0.25">
      <c r="T3422" s="1"/>
    </row>
    <row r="3423" spans="20:20" x14ac:dyDescent="0.25">
      <c r="T3423" s="1"/>
    </row>
    <row r="3424" spans="20:20" x14ac:dyDescent="0.25">
      <c r="T3424" s="1"/>
    </row>
    <row r="3425" spans="20:20" x14ac:dyDescent="0.25">
      <c r="T3425" s="1"/>
    </row>
    <row r="3426" spans="20:20" x14ac:dyDescent="0.25">
      <c r="T3426" s="1"/>
    </row>
    <row r="3427" spans="20:20" x14ac:dyDescent="0.25">
      <c r="T3427" s="1"/>
    </row>
    <row r="3428" spans="20:20" x14ac:dyDescent="0.25">
      <c r="T3428" s="1"/>
    </row>
    <row r="3429" spans="20:20" x14ac:dyDescent="0.25">
      <c r="T3429" s="1"/>
    </row>
    <row r="3430" spans="20:20" x14ac:dyDescent="0.25">
      <c r="T3430" s="1"/>
    </row>
    <row r="3431" spans="20:20" x14ac:dyDescent="0.25">
      <c r="T3431" s="1"/>
    </row>
    <row r="3432" spans="20:20" x14ac:dyDescent="0.25">
      <c r="T3432" s="1"/>
    </row>
    <row r="3433" spans="20:20" x14ac:dyDescent="0.25">
      <c r="T3433" s="1"/>
    </row>
    <row r="3434" spans="20:20" x14ac:dyDescent="0.25">
      <c r="T3434" s="1"/>
    </row>
    <row r="3435" spans="20:20" x14ac:dyDescent="0.25">
      <c r="T3435" s="1"/>
    </row>
    <row r="3436" spans="20:20" x14ac:dyDescent="0.25">
      <c r="T3436" s="1"/>
    </row>
    <row r="3437" spans="20:20" x14ac:dyDescent="0.25">
      <c r="T3437" s="1"/>
    </row>
    <row r="3438" spans="20:20" x14ac:dyDescent="0.25">
      <c r="T3438" s="1"/>
    </row>
    <row r="3439" spans="20:20" x14ac:dyDescent="0.25">
      <c r="T3439" s="1"/>
    </row>
    <row r="3440" spans="20:20" x14ac:dyDescent="0.25">
      <c r="T3440" s="1"/>
    </row>
    <row r="3441" spans="20:20" x14ac:dyDescent="0.25">
      <c r="T3441" s="1"/>
    </row>
    <row r="3442" spans="20:20" x14ac:dyDescent="0.25">
      <c r="T3442" s="1"/>
    </row>
    <row r="3443" spans="20:20" x14ac:dyDescent="0.25">
      <c r="T3443" s="1"/>
    </row>
    <row r="3444" spans="20:20" x14ac:dyDescent="0.25">
      <c r="T3444" s="1"/>
    </row>
    <row r="3445" spans="20:20" x14ac:dyDescent="0.25">
      <c r="T3445" s="1"/>
    </row>
    <row r="3446" spans="20:20" x14ac:dyDescent="0.25">
      <c r="T3446" s="1"/>
    </row>
    <row r="3447" spans="20:20" x14ac:dyDescent="0.25">
      <c r="T3447" s="1"/>
    </row>
    <row r="3448" spans="20:20" x14ac:dyDescent="0.25">
      <c r="T3448" s="1"/>
    </row>
    <row r="3449" spans="20:20" x14ac:dyDescent="0.25">
      <c r="T3449" s="1"/>
    </row>
    <row r="3450" spans="20:20" x14ac:dyDescent="0.25">
      <c r="T3450" s="1"/>
    </row>
    <row r="3451" spans="20:20" x14ac:dyDescent="0.25">
      <c r="T3451" s="1"/>
    </row>
    <row r="3452" spans="20:20" x14ac:dyDescent="0.25">
      <c r="T3452" s="1"/>
    </row>
    <row r="3453" spans="20:20" x14ac:dyDescent="0.25">
      <c r="T3453" s="1"/>
    </row>
    <row r="3454" spans="20:20" x14ac:dyDescent="0.25">
      <c r="T3454" s="1"/>
    </row>
    <row r="3455" spans="20:20" x14ac:dyDescent="0.25">
      <c r="T3455" s="1"/>
    </row>
    <row r="3456" spans="20:20" x14ac:dyDescent="0.25">
      <c r="T3456" s="1"/>
    </row>
    <row r="3457" spans="20:20" x14ac:dyDescent="0.25">
      <c r="T3457" s="1"/>
    </row>
    <row r="3458" spans="20:20" x14ac:dyDescent="0.25">
      <c r="T3458" s="1"/>
    </row>
    <row r="3459" spans="20:20" x14ac:dyDescent="0.25">
      <c r="T3459" s="1"/>
    </row>
    <row r="3460" spans="20:20" x14ac:dyDescent="0.25">
      <c r="T3460" s="1"/>
    </row>
    <row r="3461" spans="20:20" x14ac:dyDescent="0.25">
      <c r="T3461" s="1"/>
    </row>
    <row r="3462" spans="20:20" x14ac:dyDescent="0.25">
      <c r="T3462" s="1"/>
    </row>
    <row r="3463" spans="20:20" x14ac:dyDescent="0.25">
      <c r="T3463" s="1"/>
    </row>
    <row r="3464" spans="20:20" x14ac:dyDescent="0.25">
      <c r="T3464" s="1"/>
    </row>
    <row r="3465" spans="20:20" x14ac:dyDescent="0.25">
      <c r="T3465" s="1"/>
    </row>
    <row r="3466" spans="20:20" x14ac:dyDescent="0.25">
      <c r="T3466" s="1"/>
    </row>
    <row r="3467" spans="20:20" x14ac:dyDescent="0.25">
      <c r="T3467" s="1"/>
    </row>
    <row r="3468" spans="20:20" x14ac:dyDescent="0.25">
      <c r="T3468" s="1"/>
    </row>
    <row r="3469" spans="20:20" x14ac:dyDescent="0.25">
      <c r="T3469" s="1"/>
    </row>
    <row r="3470" spans="20:20" x14ac:dyDescent="0.25">
      <c r="T3470" s="1"/>
    </row>
    <row r="3471" spans="20:20" x14ac:dyDescent="0.25">
      <c r="T3471" s="1"/>
    </row>
    <row r="3472" spans="20:20" x14ac:dyDescent="0.25">
      <c r="T3472" s="1"/>
    </row>
    <row r="3473" spans="20:20" x14ac:dyDescent="0.25">
      <c r="T3473" s="1"/>
    </row>
    <row r="3474" spans="20:20" x14ac:dyDescent="0.25">
      <c r="T3474" s="1"/>
    </row>
    <row r="3475" spans="20:20" x14ac:dyDescent="0.25">
      <c r="T3475" s="1"/>
    </row>
    <row r="3476" spans="20:20" x14ac:dyDescent="0.25">
      <c r="T3476" s="1"/>
    </row>
    <row r="3477" spans="20:20" x14ac:dyDescent="0.25">
      <c r="T3477" s="1"/>
    </row>
    <row r="3478" spans="20:20" x14ac:dyDescent="0.25">
      <c r="T3478" s="1"/>
    </row>
    <row r="3479" spans="20:20" x14ac:dyDescent="0.25">
      <c r="T3479" s="1"/>
    </row>
    <row r="3480" spans="20:20" x14ac:dyDescent="0.25">
      <c r="T3480" s="1"/>
    </row>
    <row r="3481" spans="20:20" x14ac:dyDescent="0.25">
      <c r="T3481" s="1"/>
    </row>
    <row r="3482" spans="20:20" x14ac:dyDescent="0.25">
      <c r="T3482" s="1"/>
    </row>
    <row r="3483" spans="20:20" x14ac:dyDescent="0.25">
      <c r="T3483" s="1"/>
    </row>
    <row r="3484" spans="20:20" x14ac:dyDescent="0.25">
      <c r="T3484" s="1"/>
    </row>
    <row r="3485" spans="20:20" x14ac:dyDescent="0.25">
      <c r="T3485" s="1"/>
    </row>
    <row r="3486" spans="20:20" x14ac:dyDescent="0.25">
      <c r="T3486" s="1"/>
    </row>
    <row r="3487" spans="20:20" x14ac:dyDescent="0.25">
      <c r="T3487" s="1"/>
    </row>
    <row r="3488" spans="20:20" x14ac:dyDescent="0.25">
      <c r="T3488" s="1"/>
    </row>
    <row r="3489" spans="20:20" x14ac:dyDescent="0.25">
      <c r="T3489" s="1"/>
    </row>
    <row r="3490" spans="20:20" x14ac:dyDescent="0.25">
      <c r="T3490" s="1"/>
    </row>
    <row r="3491" spans="20:20" x14ac:dyDescent="0.25">
      <c r="T3491" s="1"/>
    </row>
    <row r="3492" spans="20:20" x14ac:dyDescent="0.25">
      <c r="T3492" s="1"/>
    </row>
    <row r="3493" spans="20:20" x14ac:dyDescent="0.25">
      <c r="T3493" s="1"/>
    </row>
    <row r="3494" spans="20:20" x14ac:dyDescent="0.25">
      <c r="T3494" s="1"/>
    </row>
    <row r="3495" spans="20:20" x14ac:dyDescent="0.25">
      <c r="T3495" s="1"/>
    </row>
    <row r="3496" spans="20:20" x14ac:dyDescent="0.25">
      <c r="T3496" s="1"/>
    </row>
    <row r="3497" spans="20:20" x14ac:dyDescent="0.25">
      <c r="T3497" s="1"/>
    </row>
    <row r="3498" spans="20:20" x14ac:dyDescent="0.25">
      <c r="T3498" s="1"/>
    </row>
    <row r="3499" spans="20:20" x14ac:dyDescent="0.25">
      <c r="T3499" s="1"/>
    </row>
    <row r="3500" spans="20:20" x14ac:dyDescent="0.25">
      <c r="T3500" s="1"/>
    </row>
    <row r="3501" spans="20:20" x14ac:dyDescent="0.25">
      <c r="T3501" s="1"/>
    </row>
    <row r="3502" spans="20:20" x14ac:dyDescent="0.25">
      <c r="T3502" s="1"/>
    </row>
    <row r="3503" spans="20:20" x14ac:dyDescent="0.25">
      <c r="T3503" s="1"/>
    </row>
    <row r="3504" spans="20:20" x14ac:dyDescent="0.25">
      <c r="T3504" s="1"/>
    </row>
    <row r="3505" spans="20:20" x14ac:dyDescent="0.25">
      <c r="T3505" s="1"/>
    </row>
    <row r="3506" spans="20:20" x14ac:dyDescent="0.25">
      <c r="T3506" s="1"/>
    </row>
    <row r="3507" spans="20:20" x14ac:dyDescent="0.25">
      <c r="T3507" s="1"/>
    </row>
    <row r="3508" spans="20:20" x14ac:dyDescent="0.25">
      <c r="T3508" s="1"/>
    </row>
    <row r="3509" spans="20:20" x14ac:dyDescent="0.25">
      <c r="T3509" s="1"/>
    </row>
    <row r="3510" spans="20:20" x14ac:dyDescent="0.25">
      <c r="T3510" s="1"/>
    </row>
    <row r="3511" spans="20:20" x14ac:dyDescent="0.25">
      <c r="T3511" s="1"/>
    </row>
    <row r="3512" spans="20:20" x14ac:dyDescent="0.25">
      <c r="T3512" s="1"/>
    </row>
    <row r="3513" spans="20:20" x14ac:dyDescent="0.25">
      <c r="T3513" s="1"/>
    </row>
    <row r="3514" spans="20:20" x14ac:dyDescent="0.25">
      <c r="T3514" s="1"/>
    </row>
    <row r="3515" spans="20:20" x14ac:dyDescent="0.25">
      <c r="T3515" s="1"/>
    </row>
    <row r="3516" spans="20:20" x14ac:dyDescent="0.25">
      <c r="T3516" s="1"/>
    </row>
    <row r="3517" spans="20:20" x14ac:dyDescent="0.25">
      <c r="T3517" s="1"/>
    </row>
    <row r="3518" spans="20:20" x14ac:dyDescent="0.25">
      <c r="T3518" s="1"/>
    </row>
    <row r="3519" spans="20:20" x14ac:dyDescent="0.25">
      <c r="T3519" s="1"/>
    </row>
    <row r="3520" spans="20:20" x14ac:dyDescent="0.25">
      <c r="T3520" s="1"/>
    </row>
    <row r="3521" spans="20:20" x14ac:dyDescent="0.25">
      <c r="T3521" s="1"/>
    </row>
    <row r="3522" spans="20:20" x14ac:dyDescent="0.25">
      <c r="T3522" s="1"/>
    </row>
    <row r="3523" spans="20:20" x14ac:dyDescent="0.25">
      <c r="T3523" s="1"/>
    </row>
    <row r="3524" spans="20:20" x14ac:dyDescent="0.25">
      <c r="T3524" s="1"/>
    </row>
    <row r="3525" spans="20:20" x14ac:dyDescent="0.25">
      <c r="T3525" s="1"/>
    </row>
    <row r="3526" spans="20:20" x14ac:dyDescent="0.25">
      <c r="T3526" s="1"/>
    </row>
    <row r="3527" spans="20:20" x14ac:dyDescent="0.25">
      <c r="T3527" s="1"/>
    </row>
    <row r="3528" spans="20:20" x14ac:dyDescent="0.25">
      <c r="T3528" s="1"/>
    </row>
    <row r="3529" spans="20:20" x14ac:dyDescent="0.25">
      <c r="T3529" s="1"/>
    </row>
    <row r="3530" spans="20:20" x14ac:dyDescent="0.25">
      <c r="T3530" s="1"/>
    </row>
    <row r="3531" spans="20:20" x14ac:dyDescent="0.25">
      <c r="T3531" s="1"/>
    </row>
    <row r="3532" spans="20:20" x14ac:dyDescent="0.25">
      <c r="T3532" s="1"/>
    </row>
    <row r="3533" spans="20:20" x14ac:dyDescent="0.25">
      <c r="T3533" s="1"/>
    </row>
    <row r="3534" spans="20:20" x14ac:dyDescent="0.25">
      <c r="T3534" s="1"/>
    </row>
    <row r="3535" spans="20:20" x14ac:dyDescent="0.25">
      <c r="T3535" s="1"/>
    </row>
    <row r="3536" spans="20:20" x14ac:dyDescent="0.25">
      <c r="T3536" s="1"/>
    </row>
    <row r="3537" spans="20:20" x14ac:dyDescent="0.25">
      <c r="T3537" s="1"/>
    </row>
    <row r="3538" spans="20:20" x14ac:dyDescent="0.25">
      <c r="T3538" s="1"/>
    </row>
    <row r="3539" spans="20:20" x14ac:dyDescent="0.25">
      <c r="T3539" s="1"/>
    </row>
    <row r="3540" spans="20:20" x14ac:dyDescent="0.25">
      <c r="T3540" s="1"/>
    </row>
    <row r="3541" spans="20:20" x14ac:dyDescent="0.25">
      <c r="T3541" s="1"/>
    </row>
    <row r="3542" spans="20:20" x14ac:dyDescent="0.25">
      <c r="T3542" s="1"/>
    </row>
    <row r="3543" spans="20:20" x14ac:dyDescent="0.25">
      <c r="T3543" s="1"/>
    </row>
    <row r="3544" spans="20:20" x14ac:dyDescent="0.25">
      <c r="T3544" s="1"/>
    </row>
    <row r="3545" spans="20:20" x14ac:dyDescent="0.25">
      <c r="T3545" s="1"/>
    </row>
    <row r="3546" spans="20:20" x14ac:dyDescent="0.25">
      <c r="T3546" s="1"/>
    </row>
    <row r="3547" spans="20:20" x14ac:dyDescent="0.25">
      <c r="T3547" s="1"/>
    </row>
    <row r="3548" spans="20:20" x14ac:dyDescent="0.25">
      <c r="T3548" s="1"/>
    </row>
    <row r="3549" spans="20:20" x14ac:dyDescent="0.25">
      <c r="T3549" s="1"/>
    </row>
    <row r="3550" spans="20:20" x14ac:dyDescent="0.25">
      <c r="T3550" s="1"/>
    </row>
    <row r="3551" spans="20:20" x14ac:dyDescent="0.25">
      <c r="T3551" s="1"/>
    </row>
    <row r="3552" spans="20:20" x14ac:dyDescent="0.25">
      <c r="T3552" s="1"/>
    </row>
    <row r="3553" spans="20:20" x14ac:dyDescent="0.25">
      <c r="T3553" s="1"/>
    </row>
    <row r="3554" spans="20:20" x14ac:dyDescent="0.25">
      <c r="T3554" s="1"/>
    </row>
    <row r="3555" spans="20:20" x14ac:dyDescent="0.25">
      <c r="T3555" s="1"/>
    </row>
    <row r="3556" spans="20:20" x14ac:dyDescent="0.25">
      <c r="T3556" s="1"/>
    </row>
    <row r="3557" spans="20:20" x14ac:dyDescent="0.25">
      <c r="T3557" s="1"/>
    </row>
    <row r="3558" spans="20:20" x14ac:dyDescent="0.25">
      <c r="T3558" s="1"/>
    </row>
    <row r="3559" spans="20:20" x14ac:dyDescent="0.25">
      <c r="T3559" s="1"/>
    </row>
    <row r="3560" spans="20:20" x14ac:dyDescent="0.25">
      <c r="T3560" s="1"/>
    </row>
    <row r="3561" spans="20:20" x14ac:dyDescent="0.25">
      <c r="T3561" s="1"/>
    </row>
    <row r="3562" spans="20:20" x14ac:dyDescent="0.25">
      <c r="T3562" s="1"/>
    </row>
    <row r="3563" spans="20:20" x14ac:dyDescent="0.25">
      <c r="T3563" s="1"/>
    </row>
    <row r="3564" spans="20:20" x14ac:dyDescent="0.25">
      <c r="T3564" s="1"/>
    </row>
    <row r="3565" spans="20:20" x14ac:dyDescent="0.25">
      <c r="T3565" s="1"/>
    </row>
    <row r="3566" spans="20:20" x14ac:dyDescent="0.25">
      <c r="T3566" s="1"/>
    </row>
    <row r="3567" spans="20:20" x14ac:dyDescent="0.25">
      <c r="T3567" s="1"/>
    </row>
    <row r="3568" spans="20:20" x14ac:dyDescent="0.25">
      <c r="T3568" s="1"/>
    </row>
    <row r="3569" spans="20:20" x14ac:dyDescent="0.25">
      <c r="T3569" s="1"/>
    </row>
    <row r="3570" spans="20:20" x14ac:dyDescent="0.25">
      <c r="T3570" s="1"/>
    </row>
    <row r="3571" spans="20:20" x14ac:dyDescent="0.25">
      <c r="T3571" s="1"/>
    </row>
    <row r="3572" spans="20:20" x14ac:dyDescent="0.25">
      <c r="T3572" s="1"/>
    </row>
    <row r="3573" spans="20:20" x14ac:dyDescent="0.25">
      <c r="T3573" s="1"/>
    </row>
    <row r="3574" spans="20:20" x14ac:dyDescent="0.25">
      <c r="T3574" s="1"/>
    </row>
    <row r="3575" spans="20:20" x14ac:dyDescent="0.25">
      <c r="T3575" s="1"/>
    </row>
    <row r="3576" spans="20:20" x14ac:dyDescent="0.25">
      <c r="T3576" s="1"/>
    </row>
    <row r="3577" spans="20:20" x14ac:dyDescent="0.25">
      <c r="T3577" s="1"/>
    </row>
    <row r="3578" spans="20:20" x14ac:dyDescent="0.25">
      <c r="T3578" s="1"/>
    </row>
    <row r="3579" spans="20:20" x14ac:dyDescent="0.25">
      <c r="T3579" s="1"/>
    </row>
    <row r="3580" spans="20:20" x14ac:dyDescent="0.25">
      <c r="T3580" s="1"/>
    </row>
    <row r="3581" spans="20:20" x14ac:dyDescent="0.25">
      <c r="T3581" s="1"/>
    </row>
    <row r="3582" spans="20:20" x14ac:dyDescent="0.25">
      <c r="T3582" s="1"/>
    </row>
    <row r="3583" spans="20:20" x14ac:dyDescent="0.25">
      <c r="T3583" s="1"/>
    </row>
    <row r="3584" spans="20:20" x14ac:dyDescent="0.25">
      <c r="T3584" s="1"/>
    </row>
    <row r="3585" spans="20:20" x14ac:dyDescent="0.25">
      <c r="T3585" s="1"/>
    </row>
    <row r="3586" spans="20:20" x14ac:dyDescent="0.25">
      <c r="T3586" s="1"/>
    </row>
    <row r="3587" spans="20:20" x14ac:dyDescent="0.25">
      <c r="T3587" s="1"/>
    </row>
    <row r="3588" spans="20:20" x14ac:dyDescent="0.25">
      <c r="T3588" s="1"/>
    </row>
    <row r="3589" spans="20:20" x14ac:dyDescent="0.25">
      <c r="T3589" s="1"/>
    </row>
    <row r="3590" spans="20:20" x14ac:dyDescent="0.25">
      <c r="T3590" s="1"/>
    </row>
    <row r="3591" spans="20:20" x14ac:dyDescent="0.25">
      <c r="T3591" s="1"/>
    </row>
    <row r="3592" spans="20:20" x14ac:dyDescent="0.25">
      <c r="T3592" s="1"/>
    </row>
    <row r="3593" spans="20:20" x14ac:dyDescent="0.25">
      <c r="T3593" s="1"/>
    </row>
    <row r="3594" spans="20:20" x14ac:dyDescent="0.25">
      <c r="T3594" s="1"/>
    </row>
    <row r="3595" spans="20:20" x14ac:dyDescent="0.25">
      <c r="T3595" s="1"/>
    </row>
    <row r="3596" spans="20:20" x14ac:dyDescent="0.25">
      <c r="T3596" s="1"/>
    </row>
    <row r="3597" spans="20:20" x14ac:dyDescent="0.25">
      <c r="T3597" s="1"/>
    </row>
    <row r="3598" spans="20:20" x14ac:dyDescent="0.25">
      <c r="T3598" s="1"/>
    </row>
    <row r="3599" spans="20:20" x14ac:dyDescent="0.25">
      <c r="T3599" s="1"/>
    </row>
    <row r="3600" spans="20:20" x14ac:dyDescent="0.25">
      <c r="T3600" s="1"/>
    </row>
    <row r="3601" spans="20:20" x14ac:dyDescent="0.25">
      <c r="T3601" s="1"/>
    </row>
    <row r="3602" spans="20:20" x14ac:dyDescent="0.25">
      <c r="T3602" s="1"/>
    </row>
    <row r="3603" spans="20:20" x14ac:dyDescent="0.25">
      <c r="T3603" s="1"/>
    </row>
    <row r="3604" spans="20:20" x14ac:dyDescent="0.25">
      <c r="T3604" s="1"/>
    </row>
    <row r="3605" spans="20:20" x14ac:dyDescent="0.25">
      <c r="T3605" s="1"/>
    </row>
    <row r="3606" spans="20:20" x14ac:dyDescent="0.25">
      <c r="T3606" s="1"/>
    </row>
    <row r="3607" spans="20:20" x14ac:dyDescent="0.25">
      <c r="T3607" s="1"/>
    </row>
    <row r="3608" spans="20:20" x14ac:dyDescent="0.25">
      <c r="T3608" s="1"/>
    </row>
    <row r="3609" spans="20:20" x14ac:dyDescent="0.25">
      <c r="T3609" s="1"/>
    </row>
    <row r="3610" spans="20:20" x14ac:dyDescent="0.25">
      <c r="T3610" s="1"/>
    </row>
    <row r="3611" spans="20:20" x14ac:dyDescent="0.25">
      <c r="T3611" s="1"/>
    </row>
    <row r="3612" spans="20:20" x14ac:dyDescent="0.25">
      <c r="T3612" s="1"/>
    </row>
    <row r="3613" spans="20:20" x14ac:dyDescent="0.25">
      <c r="T3613" s="1"/>
    </row>
    <row r="3614" spans="20:20" x14ac:dyDescent="0.25">
      <c r="T3614" s="1"/>
    </row>
    <row r="3615" spans="20:20" x14ac:dyDescent="0.25">
      <c r="T3615" s="1"/>
    </row>
    <row r="3616" spans="20:20" x14ac:dyDescent="0.25">
      <c r="T3616" s="1"/>
    </row>
    <row r="3617" spans="20:20" x14ac:dyDescent="0.25">
      <c r="T3617" s="1"/>
    </row>
    <row r="3618" spans="20:20" x14ac:dyDescent="0.25">
      <c r="T3618" s="1"/>
    </row>
    <row r="3619" spans="20:20" x14ac:dyDescent="0.25">
      <c r="T3619" s="1"/>
    </row>
    <row r="3620" spans="20:20" x14ac:dyDescent="0.25">
      <c r="T3620" s="1"/>
    </row>
    <row r="3621" spans="20:20" x14ac:dyDescent="0.25">
      <c r="T3621" s="1"/>
    </row>
    <row r="3622" spans="20:20" x14ac:dyDescent="0.25">
      <c r="T3622" s="1"/>
    </row>
    <row r="3623" spans="20:20" x14ac:dyDescent="0.25">
      <c r="T3623" s="1"/>
    </row>
    <row r="3624" spans="20:20" x14ac:dyDescent="0.25">
      <c r="T3624" s="1"/>
    </row>
    <row r="3625" spans="20:20" x14ac:dyDescent="0.25">
      <c r="T3625" s="1"/>
    </row>
    <row r="3626" spans="20:20" x14ac:dyDescent="0.25">
      <c r="T3626" s="1"/>
    </row>
    <row r="3627" spans="20:20" x14ac:dyDescent="0.25">
      <c r="T3627" s="1"/>
    </row>
    <row r="3628" spans="20:20" x14ac:dyDescent="0.25">
      <c r="T3628" s="1"/>
    </row>
    <row r="3629" spans="20:20" x14ac:dyDescent="0.25">
      <c r="T3629" s="1"/>
    </row>
    <row r="3630" spans="20:20" x14ac:dyDescent="0.25">
      <c r="T3630" s="1"/>
    </row>
    <row r="3631" spans="20:20" x14ac:dyDescent="0.25">
      <c r="T3631" s="1"/>
    </row>
    <row r="3632" spans="20:20" x14ac:dyDescent="0.25">
      <c r="T3632" s="1"/>
    </row>
    <row r="3633" spans="20:20" x14ac:dyDescent="0.25">
      <c r="T3633" s="1"/>
    </row>
    <row r="3634" spans="20:20" x14ac:dyDescent="0.25">
      <c r="T3634" s="1"/>
    </row>
    <row r="3635" spans="20:20" x14ac:dyDescent="0.25">
      <c r="T3635" s="1"/>
    </row>
    <row r="3636" spans="20:20" x14ac:dyDescent="0.25">
      <c r="T3636" s="1"/>
    </row>
    <row r="3637" spans="20:20" x14ac:dyDescent="0.25">
      <c r="T3637" s="1"/>
    </row>
    <row r="3638" spans="20:20" x14ac:dyDescent="0.25">
      <c r="T3638" s="1"/>
    </row>
    <row r="3639" spans="20:20" x14ac:dyDescent="0.25">
      <c r="T3639" s="1"/>
    </row>
    <row r="3640" spans="20:20" x14ac:dyDescent="0.25">
      <c r="T3640" s="1"/>
    </row>
    <row r="3641" spans="20:20" x14ac:dyDescent="0.25">
      <c r="T3641" s="1"/>
    </row>
    <row r="3642" spans="20:20" x14ac:dyDescent="0.25">
      <c r="T3642" s="1"/>
    </row>
    <row r="3643" spans="20:20" x14ac:dyDescent="0.25">
      <c r="T3643" s="1"/>
    </row>
    <row r="3644" spans="20:20" x14ac:dyDescent="0.25">
      <c r="T3644" s="1"/>
    </row>
    <row r="3645" spans="20:20" x14ac:dyDescent="0.25">
      <c r="T3645" s="1"/>
    </row>
    <row r="3646" spans="20:20" x14ac:dyDescent="0.25">
      <c r="T3646" s="1"/>
    </row>
    <row r="3647" spans="20:20" x14ac:dyDescent="0.25">
      <c r="T3647" s="1"/>
    </row>
    <row r="3648" spans="20:20" x14ac:dyDescent="0.25">
      <c r="T3648" s="1"/>
    </row>
    <row r="3649" spans="20:20" x14ac:dyDescent="0.25">
      <c r="T3649" s="1"/>
    </row>
    <row r="3650" spans="20:20" x14ac:dyDescent="0.25">
      <c r="T3650" s="1"/>
    </row>
    <row r="3651" spans="20:20" x14ac:dyDescent="0.25">
      <c r="T3651" s="1"/>
    </row>
    <row r="3652" spans="20:20" x14ac:dyDescent="0.25">
      <c r="T3652" s="1"/>
    </row>
    <row r="3653" spans="20:20" x14ac:dyDescent="0.25">
      <c r="T3653" s="1"/>
    </row>
    <row r="3654" spans="20:20" x14ac:dyDescent="0.25">
      <c r="T3654" s="1"/>
    </row>
    <row r="3655" spans="20:20" x14ac:dyDescent="0.25">
      <c r="T3655" s="1"/>
    </row>
    <row r="3656" spans="20:20" x14ac:dyDescent="0.25">
      <c r="T3656" s="1"/>
    </row>
    <row r="3657" spans="20:20" x14ac:dyDescent="0.25">
      <c r="T3657" s="1"/>
    </row>
    <row r="3658" spans="20:20" x14ac:dyDescent="0.25">
      <c r="T3658" s="1"/>
    </row>
    <row r="3659" spans="20:20" x14ac:dyDescent="0.25">
      <c r="T3659" s="1"/>
    </row>
    <row r="3660" spans="20:20" x14ac:dyDescent="0.25">
      <c r="T3660" s="1"/>
    </row>
    <row r="3661" spans="20:20" x14ac:dyDescent="0.25">
      <c r="T3661" s="1"/>
    </row>
    <row r="3662" spans="20:20" x14ac:dyDescent="0.25">
      <c r="T3662" s="1"/>
    </row>
    <row r="3663" spans="20:20" x14ac:dyDescent="0.25">
      <c r="T3663" s="1"/>
    </row>
    <row r="3664" spans="20:20" x14ac:dyDescent="0.25">
      <c r="T3664" s="1"/>
    </row>
    <row r="3665" spans="20:20" x14ac:dyDescent="0.25">
      <c r="T3665" s="1"/>
    </row>
    <row r="3666" spans="20:20" x14ac:dyDescent="0.25">
      <c r="T3666" s="1"/>
    </row>
    <row r="3667" spans="20:20" x14ac:dyDescent="0.25">
      <c r="T3667" s="1"/>
    </row>
    <row r="3668" spans="20:20" x14ac:dyDescent="0.25">
      <c r="T3668" s="1"/>
    </row>
    <row r="3669" spans="20:20" x14ac:dyDescent="0.25">
      <c r="T3669" s="1"/>
    </row>
    <row r="3670" spans="20:20" x14ac:dyDescent="0.25">
      <c r="T3670" s="1"/>
    </row>
    <row r="3671" spans="20:20" x14ac:dyDescent="0.25">
      <c r="T3671" s="1"/>
    </row>
    <row r="3672" spans="20:20" x14ac:dyDescent="0.25">
      <c r="T3672" s="1"/>
    </row>
    <row r="3673" spans="20:20" x14ac:dyDescent="0.25">
      <c r="T3673" s="1"/>
    </row>
    <row r="3674" spans="20:20" x14ac:dyDescent="0.25">
      <c r="T3674" s="1"/>
    </row>
    <row r="3675" spans="20:20" x14ac:dyDescent="0.25">
      <c r="T3675" s="1"/>
    </row>
    <row r="3676" spans="20:20" x14ac:dyDescent="0.25">
      <c r="T3676" s="1"/>
    </row>
    <row r="3677" spans="20:20" x14ac:dyDescent="0.25">
      <c r="T3677" s="1"/>
    </row>
    <row r="3678" spans="20:20" x14ac:dyDescent="0.25">
      <c r="T3678" s="1"/>
    </row>
    <row r="3679" spans="20:20" x14ac:dyDescent="0.25">
      <c r="T3679" s="1"/>
    </row>
    <row r="3680" spans="20:20" x14ac:dyDescent="0.25">
      <c r="T3680" s="1"/>
    </row>
    <row r="3681" spans="20:20" x14ac:dyDescent="0.25">
      <c r="T3681" s="1"/>
    </row>
    <row r="3682" spans="20:20" x14ac:dyDescent="0.25">
      <c r="T3682" s="1"/>
    </row>
    <row r="3683" spans="20:20" x14ac:dyDescent="0.25">
      <c r="T3683" s="1"/>
    </row>
    <row r="3684" spans="20:20" x14ac:dyDescent="0.25">
      <c r="T3684" s="1"/>
    </row>
    <row r="3685" spans="20:20" x14ac:dyDescent="0.25">
      <c r="T3685" s="1"/>
    </row>
    <row r="3686" spans="20:20" x14ac:dyDescent="0.25">
      <c r="T3686" s="1"/>
    </row>
    <row r="3687" spans="20:20" x14ac:dyDescent="0.25">
      <c r="T3687" s="1"/>
    </row>
    <row r="3688" spans="20:20" x14ac:dyDescent="0.25">
      <c r="T3688" s="1"/>
    </row>
    <row r="3689" spans="20:20" x14ac:dyDescent="0.25">
      <c r="T3689" s="1"/>
    </row>
    <row r="3690" spans="20:20" x14ac:dyDescent="0.25">
      <c r="T3690" s="1"/>
    </row>
    <row r="3691" spans="20:20" x14ac:dyDescent="0.25">
      <c r="T3691" s="1"/>
    </row>
    <row r="3692" spans="20:20" x14ac:dyDescent="0.25">
      <c r="T3692" s="1"/>
    </row>
    <row r="3693" spans="20:20" x14ac:dyDescent="0.25">
      <c r="T3693" s="1"/>
    </row>
    <row r="3694" spans="20:20" x14ac:dyDescent="0.25">
      <c r="T3694" s="1"/>
    </row>
    <row r="3695" spans="20:20" x14ac:dyDescent="0.25">
      <c r="T3695" s="1"/>
    </row>
    <row r="3696" spans="20:20" x14ac:dyDescent="0.25">
      <c r="T3696" s="1"/>
    </row>
    <row r="3697" spans="20:20" x14ac:dyDescent="0.25">
      <c r="T3697" s="1"/>
    </row>
    <row r="3698" spans="20:20" x14ac:dyDescent="0.25">
      <c r="T3698" s="1"/>
    </row>
    <row r="3699" spans="20:20" x14ac:dyDescent="0.25">
      <c r="T3699" s="1"/>
    </row>
    <row r="3700" spans="20:20" x14ac:dyDescent="0.25">
      <c r="T3700" s="1"/>
    </row>
    <row r="3701" spans="20:20" x14ac:dyDescent="0.25">
      <c r="T3701" s="1"/>
    </row>
    <row r="3702" spans="20:20" x14ac:dyDescent="0.25">
      <c r="T3702" s="1"/>
    </row>
    <row r="3703" spans="20:20" x14ac:dyDescent="0.25">
      <c r="T3703" s="1"/>
    </row>
    <row r="3704" spans="20:20" x14ac:dyDescent="0.25">
      <c r="T3704" s="1"/>
    </row>
    <row r="3705" spans="20:20" x14ac:dyDescent="0.25">
      <c r="T3705" s="1"/>
    </row>
    <row r="3706" spans="20:20" x14ac:dyDescent="0.25">
      <c r="T3706" s="1"/>
    </row>
    <row r="3707" spans="20:20" x14ac:dyDescent="0.25">
      <c r="T3707" s="1"/>
    </row>
    <row r="3708" spans="20:20" x14ac:dyDescent="0.25">
      <c r="T3708" s="1"/>
    </row>
    <row r="3709" spans="20:20" x14ac:dyDescent="0.25">
      <c r="T3709" s="1"/>
    </row>
    <row r="3710" spans="20:20" x14ac:dyDescent="0.25">
      <c r="T3710" s="1"/>
    </row>
    <row r="3711" spans="20:20" x14ac:dyDescent="0.25">
      <c r="T3711" s="1"/>
    </row>
    <row r="3712" spans="20:20" x14ac:dyDescent="0.25">
      <c r="T3712" s="1"/>
    </row>
    <row r="3713" spans="20:20" x14ac:dyDescent="0.25">
      <c r="T3713" s="1"/>
    </row>
    <row r="3714" spans="20:20" x14ac:dyDescent="0.25">
      <c r="T3714" s="1"/>
    </row>
    <row r="3715" spans="20:20" x14ac:dyDescent="0.25">
      <c r="T3715" s="1"/>
    </row>
    <row r="3716" spans="20:20" x14ac:dyDescent="0.25">
      <c r="T3716" s="1"/>
    </row>
    <row r="3717" spans="20:20" x14ac:dyDescent="0.25">
      <c r="T3717" s="1"/>
    </row>
    <row r="3718" spans="20:20" x14ac:dyDescent="0.25">
      <c r="T3718" s="1"/>
    </row>
    <row r="3719" spans="20:20" x14ac:dyDescent="0.25">
      <c r="T3719" s="1"/>
    </row>
    <row r="3720" spans="20:20" x14ac:dyDescent="0.25">
      <c r="T3720" s="1"/>
    </row>
    <row r="3721" spans="20:20" x14ac:dyDescent="0.25">
      <c r="T3721" s="1"/>
    </row>
    <row r="3722" spans="20:20" x14ac:dyDescent="0.25">
      <c r="T3722" s="1"/>
    </row>
    <row r="3723" spans="20:20" x14ac:dyDescent="0.25">
      <c r="T3723" s="1"/>
    </row>
    <row r="3724" spans="20:20" x14ac:dyDescent="0.25">
      <c r="T3724" s="1"/>
    </row>
    <row r="3725" spans="20:20" x14ac:dyDescent="0.25">
      <c r="T3725" s="1"/>
    </row>
    <row r="3726" spans="20:20" x14ac:dyDescent="0.25">
      <c r="T3726" s="1"/>
    </row>
    <row r="3727" spans="20:20" x14ac:dyDescent="0.25">
      <c r="T3727" s="1"/>
    </row>
    <row r="3728" spans="20:20" x14ac:dyDescent="0.25">
      <c r="T3728" s="1"/>
    </row>
    <row r="3729" spans="20:20" x14ac:dyDescent="0.25">
      <c r="T3729" s="1"/>
    </row>
    <row r="3730" spans="20:20" x14ac:dyDescent="0.25">
      <c r="T3730" s="1"/>
    </row>
    <row r="3731" spans="20:20" x14ac:dyDescent="0.25">
      <c r="T3731" s="1"/>
    </row>
    <row r="3732" spans="20:20" x14ac:dyDescent="0.25">
      <c r="T3732" s="1"/>
    </row>
    <row r="3733" spans="20:20" x14ac:dyDescent="0.25">
      <c r="T3733" s="1"/>
    </row>
    <row r="3734" spans="20:20" x14ac:dyDescent="0.25">
      <c r="T3734" s="1"/>
    </row>
    <row r="3735" spans="20:20" x14ac:dyDescent="0.25">
      <c r="T3735" s="1"/>
    </row>
    <row r="3736" spans="20:20" x14ac:dyDescent="0.25">
      <c r="T3736" s="1"/>
    </row>
    <row r="3737" spans="20:20" x14ac:dyDescent="0.25">
      <c r="T3737" s="1"/>
    </row>
    <row r="3738" spans="20:20" x14ac:dyDescent="0.25">
      <c r="T3738" s="1"/>
    </row>
    <row r="3739" spans="20:20" x14ac:dyDescent="0.25">
      <c r="T3739" s="1"/>
    </row>
    <row r="3740" spans="20:20" x14ac:dyDescent="0.25">
      <c r="T3740" s="1"/>
    </row>
    <row r="3741" spans="20:20" x14ac:dyDescent="0.25">
      <c r="T3741" s="1"/>
    </row>
    <row r="3742" spans="20:20" x14ac:dyDescent="0.25">
      <c r="T3742" s="1"/>
    </row>
    <row r="3743" spans="20:20" x14ac:dyDescent="0.25">
      <c r="T3743" s="1"/>
    </row>
    <row r="3744" spans="20:20" x14ac:dyDescent="0.25">
      <c r="T3744" s="1"/>
    </row>
    <row r="3745" spans="20:20" x14ac:dyDescent="0.25">
      <c r="T3745" s="1"/>
    </row>
    <row r="3746" spans="20:20" x14ac:dyDescent="0.25">
      <c r="T3746" s="1"/>
    </row>
    <row r="3747" spans="20:20" x14ac:dyDescent="0.25">
      <c r="T3747" s="1"/>
    </row>
    <row r="3748" spans="20:20" x14ac:dyDescent="0.25">
      <c r="T3748" s="1"/>
    </row>
    <row r="3749" spans="20:20" x14ac:dyDescent="0.25">
      <c r="T3749" s="1"/>
    </row>
    <row r="3750" spans="20:20" x14ac:dyDescent="0.25">
      <c r="T3750" s="1"/>
    </row>
    <row r="3751" spans="20:20" x14ac:dyDescent="0.25">
      <c r="T3751" s="1"/>
    </row>
    <row r="3752" spans="20:20" x14ac:dyDescent="0.25">
      <c r="T3752" s="1"/>
    </row>
    <row r="3753" spans="20:20" x14ac:dyDescent="0.25">
      <c r="T3753" s="1"/>
    </row>
    <row r="3754" spans="20:20" x14ac:dyDescent="0.25">
      <c r="T3754" s="1"/>
    </row>
    <row r="3755" spans="20:20" x14ac:dyDescent="0.25">
      <c r="T3755" s="1"/>
    </row>
    <row r="3756" spans="20:20" x14ac:dyDescent="0.25">
      <c r="T3756" s="1"/>
    </row>
    <row r="3757" spans="20:20" x14ac:dyDescent="0.25">
      <c r="T3757" s="1"/>
    </row>
    <row r="3758" spans="20:20" x14ac:dyDescent="0.25">
      <c r="T3758" s="1"/>
    </row>
    <row r="3759" spans="20:20" x14ac:dyDescent="0.25">
      <c r="T3759" s="1"/>
    </row>
    <row r="3760" spans="20:20" x14ac:dyDescent="0.25">
      <c r="T3760" s="1"/>
    </row>
    <row r="3761" spans="20:20" x14ac:dyDescent="0.25">
      <c r="T3761" s="1"/>
    </row>
    <row r="3762" spans="20:20" x14ac:dyDescent="0.25">
      <c r="T3762" s="1"/>
    </row>
    <row r="3763" spans="20:20" x14ac:dyDescent="0.25">
      <c r="T3763" s="1"/>
    </row>
    <row r="3764" spans="20:20" x14ac:dyDescent="0.25">
      <c r="T3764" s="1"/>
    </row>
    <row r="3765" spans="20:20" x14ac:dyDescent="0.25">
      <c r="T3765" s="1"/>
    </row>
    <row r="3766" spans="20:20" x14ac:dyDescent="0.25">
      <c r="T3766" s="1"/>
    </row>
    <row r="3767" spans="20:20" x14ac:dyDescent="0.25">
      <c r="T3767" s="1"/>
    </row>
    <row r="3768" spans="20:20" x14ac:dyDescent="0.25">
      <c r="T3768" s="1"/>
    </row>
    <row r="3769" spans="20:20" x14ac:dyDescent="0.25">
      <c r="T3769" s="1"/>
    </row>
    <row r="3770" spans="20:20" x14ac:dyDescent="0.25">
      <c r="T3770" s="1"/>
    </row>
    <row r="3771" spans="20:20" x14ac:dyDescent="0.25">
      <c r="T3771" s="1"/>
    </row>
    <row r="3772" spans="20:20" x14ac:dyDescent="0.25">
      <c r="T3772" s="1"/>
    </row>
    <row r="3773" spans="20:20" x14ac:dyDescent="0.25">
      <c r="T3773" s="1"/>
    </row>
    <row r="3774" spans="20:20" x14ac:dyDescent="0.25">
      <c r="T3774" s="1"/>
    </row>
    <row r="3775" spans="20:20" x14ac:dyDescent="0.25">
      <c r="T3775" s="1"/>
    </row>
    <row r="3776" spans="20:20" x14ac:dyDescent="0.25">
      <c r="T3776" s="1"/>
    </row>
    <row r="3777" spans="20:20" x14ac:dyDescent="0.25">
      <c r="T3777" s="1"/>
    </row>
    <row r="3778" spans="20:20" x14ac:dyDescent="0.25">
      <c r="T3778" s="1"/>
    </row>
    <row r="3779" spans="20:20" x14ac:dyDescent="0.25">
      <c r="T3779" s="1"/>
    </row>
    <row r="3780" spans="20:20" x14ac:dyDescent="0.25">
      <c r="T3780" s="1"/>
    </row>
    <row r="3781" spans="20:20" x14ac:dyDescent="0.25">
      <c r="T3781" s="1"/>
    </row>
    <row r="3782" spans="20:20" x14ac:dyDescent="0.25">
      <c r="T3782" s="1"/>
    </row>
    <row r="3783" spans="20:20" x14ac:dyDescent="0.25">
      <c r="T3783" s="1"/>
    </row>
    <row r="3784" spans="20:20" x14ac:dyDescent="0.25">
      <c r="T3784" s="1"/>
    </row>
    <row r="3785" spans="20:20" x14ac:dyDescent="0.25">
      <c r="T3785" s="1"/>
    </row>
    <row r="3786" spans="20:20" x14ac:dyDescent="0.25">
      <c r="T3786" s="1"/>
    </row>
    <row r="3787" spans="20:20" x14ac:dyDescent="0.25">
      <c r="T3787" s="1"/>
    </row>
    <row r="3788" spans="20:20" x14ac:dyDescent="0.25">
      <c r="T3788" s="1"/>
    </row>
    <row r="3789" spans="20:20" x14ac:dyDescent="0.25">
      <c r="T3789" s="1"/>
    </row>
    <row r="3790" spans="20:20" x14ac:dyDescent="0.25">
      <c r="T3790" s="1"/>
    </row>
    <row r="3791" spans="20:20" x14ac:dyDescent="0.25">
      <c r="T3791" s="1"/>
    </row>
    <row r="3792" spans="20:20" x14ac:dyDescent="0.25">
      <c r="T3792" s="1"/>
    </row>
    <row r="3793" spans="20:20" x14ac:dyDescent="0.25">
      <c r="T3793" s="1"/>
    </row>
    <row r="3794" spans="20:20" x14ac:dyDescent="0.25">
      <c r="T3794" s="1"/>
    </row>
    <row r="3795" spans="20:20" x14ac:dyDescent="0.25">
      <c r="T3795" s="1"/>
    </row>
    <row r="3796" spans="20:20" x14ac:dyDescent="0.25">
      <c r="T3796" s="1"/>
    </row>
    <row r="3797" spans="20:20" x14ac:dyDescent="0.25">
      <c r="T3797" s="1"/>
    </row>
    <row r="3798" spans="20:20" x14ac:dyDescent="0.25">
      <c r="T3798" s="1"/>
    </row>
    <row r="3799" spans="20:20" x14ac:dyDescent="0.25">
      <c r="T3799" s="1"/>
    </row>
    <row r="3800" spans="20:20" x14ac:dyDescent="0.25">
      <c r="T3800" s="1"/>
    </row>
    <row r="3801" spans="20:20" x14ac:dyDescent="0.25">
      <c r="T3801" s="1"/>
    </row>
    <row r="3802" spans="20:20" x14ac:dyDescent="0.25">
      <c r="T3802" s="1"/>
    </row>
    <row r="3803" spans="20:20" x14ac:dyDescent="0.25">
      <c r="T3803" s="1"/>
    </row>
    <row r="3804" spans="20:20" x14ac:dyDescent="0.25">
      <c r="T3804" s="1"/>
    </row>
    <row r="3805" spans="20:20" x14ac:dyDescent="0.25">
      <c r="T3805" s="1"/>
    </row>
    <row r="3806" spans="20:20" x14ac:dyDescent="0.25">
      <c r="T3806" s="1"/>
    </row>
    <row r="3807" spans="20:20" x14ac:dyDescent="0.25">
      <c r="T3807" s="1"/>
    </row>
    <row r="3808" spans="20:20" x14ac:dyDescent="0.25">
      <c r="T3808" s="1"/>
    </row>
    <row r="3809" spans="20:20" x14ac:dyDescent="0.25">
      <c r="T3809" s="1"/>
    </row>
    <row r="3810" spans="20:20" x14ac:dyDescent="0.25">
      <c r="T3810" s="1"/>
    </row>
    <row r="3811" spans="20:20" x14ac:dyDescent="0.25">
      <c r="T3811" s="1"/>
    </row>
    <row r="3812" spans="20:20" x14ac:dyDescent="0.25">
      <c r="T3812" s="1"/>
    </row>
    <row r="3813" spans="20:20" x14ac:dyDescent="0.25">
      <c r="T3813" s="1"/>
    </row>
    <row r="3814" spans="20:20" x14ac:dyDescent="0.25">
      <c r="T3814" s="1"/>
    </row>
    <row r="3815" spans="20:20" x14ac:dyDescent="0.25">
      <c r="T3815" s="1"/>
    </row>
    <row r="3816" spans="20:20" x14ac:dyDescent="0.25">
      <c r="T3816" s="1"/>
    </row>
    <row r="3817" spans="20:20" x14ac:dyDescent="0.25">
      <c r="T3817" s="1"/>
    </row>
    <row r="3818" spans="20:20" x14ac:dyDescent="0.25">
      <c r="T3818" s="1"/>
    </row>
    <row r="3819" spans="20:20" x14ac:dyDescent="0.25">
      <c r="T3819" s="1"/>
    </row>
    <row r="3820" spans="20:20" x14ac:dyDescent="0.25">
      <c r="T3820" s="1"/>
    </row>
    <row r="3821" spans="20:20" x14ac:dyDescent="0.25">
      <c r="T3821" s="1"/>
    </row>
    <row r="3822" spans="20:20" x14ac:dyDescent="0.25">
      <c r="T3822" s="1"/>
    </row>
    <row r="3823" spans="20:20" x14ac:dyDescent="0.25">
      <c r="T3823" s="1"/>
    </row>
    <row r="3824" spans="20:20" x14ac:dyDescent="0.25">
      <c r="T3824" s="1"/>
    </row>
    <row r="3825" spans="20:20" x14ac:dyDescent="0.25">
      <c r="T3825" s="1"/>
    </row>
    <row r="3826" spans="20:20" x14ac:dyDescent="0.25">
      <c r="T3826" s="1"/>
    </row>
    <row r="3827" spans="20:20" x14ac:dyDescent="0.25">
      <c r="T3827" s="1"/>
    </row>
    <row r="3828" spans="20:20" x14ac:dyDescent="0.25">
      <c r="T3828" s="1"/>
    </row>
    <row r="3829" spans="20:20" x14ac:dyDescent="0.25">
      <c r="T3829" s="1"/>
    </row>
    <row r="3830" spans="20:20" x14ac:dyDescent="0.25">
      <c r="T3830" s="1"/>
    </row>
    <row r="3831" spans="20:20" x14ac:dyDescent="0.25">
      <c r="T3831" s="1"/>
    </row>
    <row r="3832" spans="20:20" x14ac:dyDescent="0.25">
      <c r="T3832" s="1"/>
    </row>
    <row r="3833" spans="20:20" x14ac:dyDescent="0.25">
      <c r="T3833" s="1"/>
    </row>
    <row r="3834" spans="20:20" x14ac:dyDescent="0.25">
      <c r="T3834" s="1"/>
    </row>
    <row r="3835" spans="20:20" x14ac:dyDescent="0.25">
      <c r="T3835" s="1"/>
    </row>
    <row r="3836" spans="20:20" x14ac:dyDescent="0.25">
      <c r="T3836" s="1"/>
    </row>
    <row r="3837" spans="20:20" x14ac:dyDescent="0.25">
      <c r="T3837" s="1"/>
    </row>
    <row r="3838" spans="20:20" x14ac:dyDescent="0.25">
      <c r="T3838" s="1"/>
    </row>
    <row r="3839" spans="20:20" x14ac:dyDescent="0.25">
      <c r="T3839" s="1"/>
    </row>
    <row r="3840" spans="20:20" x14ac:dyDescent="0.25">
      <c r="T3840" s="1"/>
    </row>
    <row r="3841" spans="20:20" x14ac:dyDescent="0.25">
      <c r="T3841" s="1"/>
    </row>
    <row r="3842" spans="20:20" x14ac:dyDescent="0.25">
      <c r="T3842" s="1"/>
    </row>
    <row r="3843" spans="20:20" x14ac:dyDescent="0.25">
      <c r="T3843" s="1"/>
    </row>
    <row r="3844" spans="20:20" x14ac:dyDescent="0.25">
      <c r="T3844" s="1"/>
    </row>
    <row r="3845" spans="20:20" x14ac:dyDescent="0.25">
      <c r="T3845" s="1"/>
    </row>
    <row r="3846" spans="20:20" x14ac:dyDescent="0.25">
      <c r="T3846" s="1"/>
    </row>
    <row r="3847" spans="20:20" x14ac:dyDescent="0.25">
      <c r="T3847" s="1"/>
    </row>
    <row r="3848" spans="20:20" x14ac:dyDescent="0.25">
      <c r="T3848" s="1"/>
    </row>
    <row r="3849" spans="20:20" x14ac:dyDescent="0.25">
      <c r="T3849" s="1"/>
    </row>
    <row r="3850" spans="20:20" x14ac:dyDescent="0.25">
      <c r="T3850" s="1"/>
    </row>
    <row r="3851" spans="20:20" x14ac:dyDescent="0.25">
      <c r="T3851" s="1"/>
    </row>
    <row r="3852" spans="20:20" x14ac:dyDescent="0.25">
      <c r="T3852" s="1"/>
    </row>
    <row r="3853" spans="20:20" x14ac:dyDescent="0.25">
      <c r="T3853" s="1"/>
    </row>
    <row r="3854" spans="20:20" x14ac:dyDescent="0.25">
      <c r="T3854" s="1"/>
    </row>
    <row r="3855" spans="20:20" x14ac:dyDescent="0.25">
      <c r="T3855" s="1"/>
    </row>
    <row r="3856" spans="20:20" x14ac:dyDescent="0.25">
      <c r="T3856" s="1"/>
    </row>
    <row r="3857" spans="20:20" x14ac:dyDescent="0.25">
      <c r="T3857" s="1"/>
    </row>
    <row r="3858" spans="20:20" x14ac:dyDescent="0.25">
      <c r="T3858" s="1"/>
    </row>
    <row r="3859" spans="20:20" x14ac:dyDescent="0.25">
      <c r="T3859" s="1"/>
    </row>
    <row r="3860" spans="20:20" x14ac:dyDescent="0.25">
      <c r="T3860" s="1"/>
    </row>
    <row r="3861" spans="20:20" x14ac:dyDescent="0.25">
      <c r="T3861" s="1"/>
    </row>
    <row r="3862" spans="20:20" x14ac:dyDescent="0.25">
      <c r="T3862" s="1"/>
    </row>
    <row r="3863" spans="20:20" x14ac:dyDescent="0.25">
      <c r="T3863" s="1"/>
    </row>
    <row r="3864" spans="20:20" x14ac:dyDescent="0.25">
      <c r="T3864" s="1"/>
    </row>
    <row r="3865" spans="20:20" x14ac:dyDescent="0.25">
      <c r="T3865" s="1"/>
    </row>
    <row r="3866" spans="20:20" x14ac:dyDescent="0.25">
      <c r="T3866" s="1"/>
    </row>
    <row r="3867" spans="20:20" x14ac:dyDescent="0.25">
      <c r="T3867" s="1"/>
    </row>
    <row r="3868" spans="20:20" x14ac:dyDescent="0.25">
      <c r="T3868" s="1"/>
    </row>
    <row r="3869" spans="20:20" x14ac:dyDescent="0.25">
      <c r="T3869" s="1"/>
    </row>
    <row r="3870" spans="20:20" x14ac:dyDescent="0.25">
      <c r="T3870" s="1"/>
    </row>
    <row r="3871" spans="20:20" x14ac:dyDescent="0.25">
      <c r="T3871" s="1"/>
    </row>
    <row r="3872" spans="20:20" x14ac:dyDescent="0.25">
      <c r="T3872" s="1"/>
    </row>
    <row r="3873" spans="20:20" x14ac:dyDescent="0.25">
      <c r="T3873" s="1"/>
    </row>
    <row r="3874" spans="20:20" x14ac:dyDescent="0.25">
      <c r="T3874" s="1"/>
    </row>
    <row r="3875" spans="20:20" x14ac:dyDescent="0.25">
      <c r="T3875" s="1"/>
    </row>
    <row r="3876" spans="20:20" x14ac:dyDescent="0.25">
      <c r="T3876" s="1"/>
    </row>
    <row r="3877" spans="20:20" x14ac:dyDescent="0.25">
      <c r="T3877" s="1"/>
    </row>
    <row r="3878" spans="20:20" x14ac:dyDescent="0.25">
      <c r="T3878" s="1"/>
    </row>
    <row r="3879" spans="20:20" x14ac:dyDescent="0.25">
      <c r="T3879" s="1"/>
    </row>
    <row r="3880" spans="20:20" x14ac:dyDescent="0.25">
      <c r="T3880" s="1"/>
    </row>
    <row r="3881" spans="20:20" x14ac:dyDescent="0.25">
      <c r="T3881" s="1"/>
    </row>
    <row r="3882" spans="20:20" x14ac:dyDescent="0.25">
      <c r="T3882" s="1"/>
    </row>
    <row r="3883" spans="20:20" x14ac:dyDescent="0.25">
      <c r="T3883" s="1"/>
    </row>
    <row r="3884" spans="20:20" x14ac:dyDescent="0.25">
      <c r="T3884" s="1"/>
    </row>
    <row r="3885" spans="20:20" x14ac:dyDescent="0.25">
      <c r="T3885" s="1"/>
    </row>
    <row r="3886" spans="20:20" x14ac:dyDescent="0.25">
      <c r="T3886" s="1"/>
    </row>
    <row r="3887" spans="20:20" x14ac:dyDescent="0.25">
      <c r="T3887" s="1"/>
    </row>
    <row r="3888" spans="20:20" x14ac:dyDescent="0.25">
      <c r="T3888" s="1"/>
    </row>
    <row r="3889" spans="20:20" x14ac:dyDescent="0.25">
      <c r="T3889" s="1"/>
    </row>
    <row r="3890" spans="20:20" x14ac:dyDescent="0.25">
      <c r="T3890" s="1"/>
    </row>
    <row r="3891" spans="20:20" x14ac:dyDescent="0.25">
      <c r="T3891" s="1"/>
    </row>
    <row r="3892" spans="20:20" x14ac:dyDescent="0.25">
      <c r="T3892" s="1"/>
    </row>
    <row r="3893" spans="20:20" x14ac:dyDescent="0.25">
      <c r="T3893" s="1"/>
    </row>
    <row r="3894" spans="20:20" x14ac:dyDescent="0.25">
      <c r="T3894" s="1"/>
    </row>
    <row r="3895" spans="20:20" x14ac:dyDescent="0.25">
      <c r="T3895" s="1"/>
    </row>
    <row r="3896" spans="20:20" x14ac:dyDescent="0.25">
      <c r="T3896" s="1"/>
    </row>
    <row r="3897" spans="20:20" x14ac:dyDescent="0.25">
      <c r="T3897" s="1"/>
    </row>
    <row r="3898" spans="20:20" x14ac:dyDescent="0.25">
      <c r="T3898" s="1"/>
    </row>
    <row r="3899" spans="20:20" x14ac:dyDescent="0.25">
      <c r="T3899" s="1"/>
    </row>
    <row r="3900" spans="20:20" x14ac:dyDescent="0.25">
      <c r="T3900" s="1"/>
    </row>
    <row r="3901" spans="20:20" x14ac:dyDescent="0.25">
      <c r="T3901" s="1"/>
    </row>
    <row r="3902" spans="20:20" x14ac:dyDescent="0.25">
      <c r="T3902" s="1"/>
    </row>
    <row r="3903" spans="20:20" x14ac:dyDescent="0.25">
      <c r="T3903" s="1"/>
    </row>
    <row r="3904" spans="20:20" x14ac:dyDescent="0.25">
      <c r="T3904" s="1"/>
    </row>
    <row r="3905" spans="20:20" x14ac:dyDescent="0.25">
      <c r="T3905" s="1"/>
    </row>
    <row r="3906" spans="20:20" x14ac:dyDescent="0.25">
      <c r="T3906" s="1"/>
    </row>
    <row r="3907" spans="20:20" x14ac:dyDescent="0.25">
      <c r="T3907" s="1"/>
    </row>
    <row r="3908" spans="20:20" x14ac:dyDescent="0.25">
      <c r="T3908" s="1"/>
    </row>
    <row r="3909" spans="20:20" x14ac:dyDescent="0.25">
      <c r="T3909" s="1"/>
    </row>
    <row r="3910" spans="20:20" x14ac:dyDescent="0.25">
      <c r="T3910" s="1"/>
    </row>
    <row r="3911" spans="20:20" x14ac:dyDescent="0.25">
      <c r="T3911" s="1"/>
    </row>
    <row r="3912" spans="20:20" x14ac:dyDescent="0.25">
      <c r="T3912" s="1"/>
    </row>
    <row r="3913" spans="20:20" x14ac:dyDescent="0.25">
      <c r="T3913" s="1"/>
    </row>
    <row r="3914" spans="20:20" x14ac:dyDescent="0.25">
      <c r="T3914" s="1"/>
    </row>
    <row r="3915" spans="20:20" x14ac:dyDescent="0.25">
      <c r="T3915" s="1"/>
    </row>
    <row r="3916" spans="20:20" x14ac:dyDescent="0.25">
      <c r="T3916" s="1"/>
    </row>
    <row r="3917" spans="20:20" x14ac:dyDescent="0.25">
      <c r="T3917" s="1"/>
    </row>
    <row r="3918" spans="20:20" x14ac:dyDescent="0.25">
      <c r="T3918" s="1"/>
    </row>
    <row r="3919" spans="20:20" x14ac:dyDescent="0.25">
      <c r="T3919" s="1"/>
    </row>
    <row r="3920" spans="20:20" x14ac:dyDescent="0.25">
      <c r="T3920" s="1"/>
    </row>
    <row r="3921" spans="20:20" x14ac:dyDescent="0.25">
      <c r="T3921" s="1"/>
    </row>
    <row r="3922" spans="20:20" x14ac:dyDescent="0.25">
      <c r="T3922" s="1"/>
    </row>
    <row r="3923" spans="20:20" x14ac:dyDescent="0.25">
      <c r="T3923" s="1"/>
    </row>
    <row r="3924" spans="20:20" x14ac:dyDescent="0.25">
      <c r="T3924" s="1"/>
    </row>
    <row r="3925" spans="20:20" x14ac:dyDescent="0.25">
      <c r="T3925" s="1"/>
    </row>
    <row r="3926" spans="20:20" x14ac:dyDescent="0.25">
      <c r="T3926" s="1"/>
    </row>
    <row r="3927" spans="20:20" x14ac:dyDescent="0.25">
      <c r="T3927" s="1"/>
    </row>
    <row r="3928" spans="20:20" x14ac:dyDescent="0.25">
      <c r="T3928" s="1"/>
    </row>
    <row r="3929" spans="20:20" x14ac:dyDescent="0.25">
      <c r="T3929" s="1"/>
    </row>
    <row r="3930" spans="20:20" x14ac:dyDescent="0.25">
      <c r="T3930" s="1"/>
    </row>
    <row r="3931" spans="20:20" x14ac:dyDescent="0.25">
      <c r="T3931" s="1"/>
    </row>
    <row r="3932" spans="20:20" x14ac:dyDescent="0.25">
      <c r="T3932" s="1"/>
    </row>
    <row r="3933" spans="20:20" x14ac:dyDescent="0.25">
      <c r="T3933" s="1"/>
    </row>
    <row r="3934" spans="20:20" x14ac:dyDescent="0.25">
      <c r="T3934" s="1"/>
    </row>
    <row r="3935" spans="20:20" x14ac:dyDescent="0.25">
      <c r="T3935" s="1"/>
    </row>
    <row r="3936" spans="20:20" x14ac:dyDescent="0.25">
      <c r="T3936" s="1"/>
    </row>
    <row r="3937" spans="20:20" x14ac:dyDescent="0.25">
      <c r="T3937" s="1"/>
    </row>
    <row r="3938" spans="20:20" x14ac:dyDescent="0.25">
      <c r="T3938" s="1"/>
    </row>
    <row r="3939" spans="20:20" x14ac:dyDescent="0.25">
      <c r="T3939" s="1"/>
    </row>
    <row r="3940" spans="20:20" x14ac:dyDescent="0.25">
      <c r="T3940" s="1"/>
    </row>
    <row r="3941" spans="20:20" x14ac:dyDescent="0.25">
      <c r="T3941" s="1"/>
    </row>
    <row r="3942" spans="20:20" x14ac:dyDescent="0.25">
      <c r="T3942" s="1"/>
    </row>
    <row r="3943" spans="20:20" x14ac:dyDescent="0.25">
      <c r="T3943" s="1"/>
    </row>
    <row r="3944" spans="20:20" x14ac:dyDescent="0.25">
      <c r="T3944" s="1"/>
    </row>
    <row r="3945" spans="20:20" x14ac:dyDescent="0.25">
      <c r="T3945" s="1"/>
    </row>
    <row r="3946" spans="20:20" x14ac:dyDescent="0.25">
      <c r="T3946" s="1"/>
    </row>
    <row r="3947" spans="20:20" x14ac:dyDescent="0.25">
      <c r="T3947" s="1"/>
    </row>
    <row r="3948" spans="20:20" x14ac:dyDescent="0.25">
      <c r="T3948" s="1"/>
    </row>
    <row r="3949" spans="20:20" x14ac:dyDescent="0.25">
      <c r="T3949" s="1"/>
    </row>
    <row r="3950" spans="20:20" x14ac:dyDescent="0.25">
      <c r="T3950" s="1"/>
    </row>
    <row r="3951" spans="20:20" x14ac:dyDescent="0.25">
      <c r="T3951" s="1"/>
    </row>
    <row r="3952" spans="20:20" x14ac:dyDescent="0.25">
      <c r="T3952" s="1"/>
    </row>
    <row r="3953" spans="20:20" x14ac:dyDescent="0.25">
      <c r="T3953" s="1"/>
    </row>
    <row r="3954" spans="20:20" x14ac:dyDescent="0.25">
      <c r="T3954" s="1"/>
    </row>
    <row r="3955" spans="20:20" x14ac:dyDescent="0.25">
      <c r="T3955" s="1"/>
    </row>
    <row r="3956" spans="20:20" x14ac:dyDescent="0.25">
      <c r="T3956" s="1"/>
    </row>
    <row r="3957" spans="20:20" x14ac:dyDescent="0.25">
      <c r="T3957" s="1"/>
    </row>
    <row r="3958" spans="20:20" x14ac:dyDescent="0.25">
      <c r="T3958" s="1"/>
    </row>
    <row r="3959" spans="20:20" x14ac:dyDescent="0.25">
      <c r="T3959" s="1"/>
    </row>
    <row r="3960" spans="20:20" x14ac:dyDescent="0.25">
      <c r="T3960" s="1"/>
    </row>
    <row r="3961" spans="20:20" x14ac:dyDescent="0.25">
      <c r="T3961" s="1"/>
    </row>
    <row r="3962" spans="20:20" x14ac:dyDescent="0.25">
      <c r="T3962" s="1"/>
    </row>
    <row r="3963" spans="20:20" x14ac:dyDescent="0.25">
      <c r="T3963" s="1"/>
    </row>
    <row r="3964" spans="20:20" x14ac:dyDescent="0.25">
      <c r="T3964" s="1"/>
    </row>
    <row r="3965" spans="20:20" x14ac:dyDescent="0.25">
      <c r="T3965" s="1"/>
    </row>
    <row r="3966" spans="20:20" x14ac:dyDescent="0.25">
      <c r="T3966" s="1"/>
    </row>
    <row r="3967" spans="20:20" x14ac:dyDescent="0.25">
      <c r="T3967" s="1"/>
    </row>
    <row r="3968" spans="20:20" x14ac:dyDescent="0.25">
      <c r="T3968" s="1"/>
    </row>
    <row r="3969" spans="20:20" x14ac:dyDescent="0.25">
      <c r="T3969" s="1"/>
    </row>
    <row r="3970" spans="20:20" x14ac:dyDescent="0.25">
      <c r="T3970" s="1"/>
    </row>
    <row r="3971" spans="20:20" x14ac:dyDescent="0.25">
      <c r="T3971" s="1"/>
    </row>
    <row r="3972" spans="20:20" x14ac:dyDescent="0.25">
      <c r="T3972" s="1"/>
    </row>
    <row r="3973" spans="20:20" x14ac:dyDescent="0.25">
      <c r="T3973" s="1"/>
    </row>
    <row r="3974" spans="20:20" x14ac:dyDescent="0.25">
      <c r="T3974" s="1"/>
    </row>
    <row r="3975" spans="20:20" x14ac:dyDescent="0.25">
      <c r="T3975" s="1"/>
    </row>
    <row r="3976" spans="20:20" x14ac:dyDescent="0.25">
      <c r="T3976" s="1"/>
    </row>
    <row r="3977" spans="20:20" x14ac:dyDescent="0.25">
      <c r="T3977" s="1"/>
    </row>
    <row r="3978" spans="20:20" x14ac:dyDescent="0.25">
      <c r="T3978" s="1"/>
    </row>
    <row r="3979" spans="20:20" x14ac:dyDescent="0.25">
      <c r="T3979" s="1"/>
    </row>
    <row r="3980" spans="20:20" x14ac:dyDescent="0.25">
      <c r="T3980" s="1"/>
    </row>
    <row r="3981" spans="20:20" x14ac:dyDescent="0.25">
      <c r="T3981" s="1"/>
    </row>
    <row r="3982" spans="20:20" x14ac:dyDescent="0.25">
      <c r="T3982" s="1"/>
    </row>
    <row r="3983" spans="20:20" x14ac:dyDescent="0.25">
      <c r="T3983" s="1"/>
    </row>
    <row r="3984" spans="20:20" x14ac:dyDescent="0.25">
      <c r="T3984" s="1"/>
    </row>
    <row r="3985" spans="20:20" x14ac:dyDescent="0.25">
      <c r="T3985" s="1"/>
    </row>
    <row r="3986" spans="20:20" x14ac:dyDescent="0.25">
      <c r="T3986" s="1"/>
    </row>
    <row r="3987" spans="20:20" x14ac:dyDescent="0.25">
      <c r="T3987" s="1"/>
    </row>
    <row r="3988" spans="20:20" x14ac:dyDescent="0.25">
      <c r="T3988" s="1"/>
    </row>
    <row r="3989" spans="20:20" x14ac:dyDescent="0.25">
      <c r="T3989" s="1"/>
    </row>
    <row r="3990" spans="20:20" x14ac:dyDescent="0.25">
      <c r="T3990" s="1"/>
    </row>
    <row r="3991" spans="20:20" x14ac:dyDescent="0.25">
      <c r="T3991" s="1"/>
    </row>
    <row r="3992" spans="20:20" x14ac:dyDescent="0.25">
      <c r="T3992" s="1"/>
    </row>
    <row r="3993" spans="20:20" x14ac:dyDescent="0.25">
      <c r="T3993" s="1"/>
    </row>
    <row r="3994" spans="20:20" x14ac:dyDescent="0.25">
      <c r="T3994" s="1"/>
    </row>
    <row r="3995" spans="20:20" x14ac:dyDescent="0.25">
      <c r="T3995" s="1"/>
    </row>
    <row r="3996" spans="20:20" x14ac:dyDescent="0.25">
      <c r="T3996" s="1"/>
    </row>
    <row r="3997" spans="20:20" x14ac:dyDescent="0.25">
      <c r="T3997" s="1"/>
    </row>
    <row r="3998" spans="20:20" x14ac:dyDescent="0.25">
      <c r="T3998" s="1"/>
    </row>
    <row r="3999" spans="20:20" x14ac:dyDescent="0.25">
      <c r="T3999" s="1"/>
    </row>
    <row r="4000" spans="20:20" x14ac:dyDescent="0.25">
      <c r="T4000" s="1"/>
    </row>
    <row r="4001" spans="20:20" x14ac:dyDescent="0.25">
      <c r="T4001" s="1"/>
    </row>
    <row r="4002" spans="20:20" x14ac:dyDescent="0.25">
      <c r="T4002" s="1"/>
    </row>
    <row r="4003" spans="20:20" x14ac:dyDescent="0.25">
      <c r="T4003" s="1"/>
    </row>
    <row r="4004" spans="20:20" x14ac:dyDescent="0.25">
      <c r="T4004" s="1"/>
    </row>
    <row r="4005" spans="20:20" x14ac:dyDescent="0.25">
      <c r="T4005" s="1"/>
    </row>
    <row r="4006" spans="20:20" x14ac:dyDescent="0.25">
      <c r="T4006" s="1"/>
    </row>
    <row r="4007" spans="20:20" x14ac:dyDescent="0.25">
      <c r="T4007" s="1"/>
    </row>
    <row r="4008" spans="20:20" x14ac:dyDescent="0.25">
      <c r="T4008" s="1"/>
    </row>
    <row r="4009" spans="20:20" x14ac:dyDescent="0.25">
      <c r="T4009" s="1"/>
    </row>
    <row r="4010" spans="20:20" x14ac:dyDescent="0.25">
      <c r="T4010" s="1"/>
    </row>
    <row r="4011" spans="20:20" x14ac:dyDescent="0.25">
      <c r="T4011" s="1"/>
    </row>
    <row r="4012" spans="20:20" x14ac:dyDescent="0.25">
      <c r="T4012" s="1"/>
    </row>
    <row r="4013" spans="20:20" x14ac:dyDescent="0.25">
      <c r="T4013" s="1"/>
    </row>
    <row r="4014" spans="20:20" x14ac:dyDescent="0.25">
      <c r="T4014" s="1"/>
    </row>
    <row r="4015" spans="20:20" x14ac:dyDescent="0.25">
      <c r="T4015" s="1"/>
    </row>
    <row r="4016" spans="20:20" x14ac:dyDescent="0.25">
      <c r="T4016" s="1"/>
    </row>
    <row r="4017" spans="20:20" x14ac:dyDescent="0.25">
      <c r="T4017" s="1"/>
    </row>
    <row r="4018" spans="20:20" x14ac:dyDescent="0.25">
      <c r="T4018" s="1"/>
    </row>
    <row r="4019" spans="20:20" x14ac:dyDescent="0.25">
      <c r="T4019" s="1"/>
    </row>
    <row r="4020" spans="20:20" x14ac:dyDescent="0.25">
      <c r="T4020" s="1"/>
    </row>
    <row r="4021" spans="20:20" x14ac:dyDescent="0.25">
      <c r="T4021" s="1"/>
    </row>
    <row r="4022" spans="20:20" x14ac:dyDescent="0.25">
      <c r="T4022" s="1"/>
    </row>
    <row r="4023" spans="20:20" x14ac:dyDescent="0.25">
      <c r="T4023" s="1"/>
    </row>
    <row r="4024" spans="20:20" x14ac:dyDescent="0.25">
      <c r="T4024" s="1"/>
    </row>
    <row r="4025" spans="20:20" x14ac:dyDescent="0.25">
      <c r="T4025" s="1"/>
    </row>
    <row r="4026" spans="20:20" x14ac:dyDescent="0.25">
      <c r="T4026" s="1"/>
    </row>
    <row r="4027" spans="20:20" x14ac:dyDescent="0.25">
      <c r="T4027" s="1"/>
    </row>
    <row r="4028" spans="20:20" x14ac:dyDescent="0.25">
      <c r="T4028" s="1"/>
    </row>
    <row r="4029" spans="20:20" x14ac:dyDescent="0.25">
      <c r="T4029" s="1"/>
    </row>
    <row r="4030" spans="20:20" x14ac:dyDescent="0.25">
      <c r="T4030" s="1"/>
    </row>
    <row r="4031" spans="20:20" x14ac:dyDescent="0.25">
      <c r="T4031" s="1"/>
    </row>
    <row r="4032" spans="20:20" x14ac:dyDescent="0.25">
      <c r="T4032" s="1"/>
    </row>
    <row r="4033" spans="20:20" x14ac:dyDescent="0.25">
      <c r="T4033" s="1"/>
    </row>
    <row r="4034" spans="20:20" x14ac:dyDescent="0.25">
      <c r="T4034" s="1"/>
    </row>
    <row r="4035" spans="20:20" x14ac:dyDescent="0.25">
      <c r="T4035" s="1"/>
    </row>
    <row r="4036" spans="20:20" x14ac:dyDescent="0.25">
      <c r="T4036" s="1"/>
    </row>
    <row r="4037" spans="20:20" x14ac:dyDescent="0.25">
      <c r="T4037" s="1"/>
    </row>
    <row r="4038" spans="20:20" x14ac:dyDescent="0.25">
      <c r="T4038" s="1"/>
    </row>
    <row r="4039" spans="20:20" x14ac:dyDescent="0.25">
      <c r="T4039" s="1"/>
    </row>
    <row r="4040" spans="20:20" x14ac:dyDescent="0.25">
      <c r="T4040" s="1"/>
    </row>
    <row r="4041" spans="20:20" x14ac:dyDescent="0.25">
      <c r="T4041" s="1"/>
    </row>
    <row r="4042" spans="20:20" x14ac:dyDescent="0.25">
      <c r="T4042" s="1"/>
    </row>
    <row r="4043" spans="20:20" x14ac:dyDescent="0.25">
      <c r="T4043" s="1"/>
    </row>
    <row r="4044" spans="20:20" x14ac:dyDescent="0.25">
      <c r="T4044" s="1"/>
    </row>
    <row r="4045" spans="20:20" x14ac:dyDescent="0.25">
      <c r="T4045" s="1"/>
    </row>
    <row r="4046" spans="20:20" x14ac:dyDescent="0.25">
      <c r="T4046" s="1"/>
    </row>
    <row r="4047" spans="20:20" x14ac:dyDescent="0.25">
      <c r="T4047" s="1"/>
    </row>
    <row r="4048" spans="20:20" x14ac:dyDescent="0.25">
      <c r="T4048" s="1"/>
    </row>
    <row r="4049" spans="20:20" x14ac:dyDescent="0.25">
      <c r="T4049" s="1"/>
    </row>
    <row r="4050" spans="20:20" x14ac:dyDescent="0.25">
      <c r="T4050" s="1"/>
    </row>
    <row r="4051" spans="20:20" x14ac:dyDescent="0.25">
      <c r="T4051" s="1"/>
    </row>
    <row r="4052" spans="20:20" x14ac:dyDescent="0.25">
      <c r="T4052" s="1"/>
    </row>
    <row r="4053" spans="20:20" x14ac:dyDescent="0.25">
      <c r="T4053" s="1"/>
    </row>
    <row r="4054" spans="20:20" x14ac:dyDescent="0.25">
      <c r="T4054" s="1"/>
    </row>
    <row r="4055" spans="20:20" x14ac:dyDescent="0.25">
      <c r="T4055" s="1"/>
    </row>
    <row r="4056" spans="20:20" x14ac:dyDescent="0.25">
      <c r="T4056" s="1"/>
    </row>
    <row r="4057" spans="20:20" x14ac:dyDescent="0.25">
      <c r="T4057" s="1"/>
    </row>
    <row r="4058" spans="20:20" x14ac:dyDescent="0.25">
      <c r="T4058" s="1"/>
    </row>
    <row r="4059" spans="20:20" x14ac:dyDescent="0.25">
      <c r="T4059" s="1"/>
    </row>
    <row r="4060" spans="20:20" x14ac:dyDescent="0.25">
      <c r="T4060" s="1"/>
    </row>
    <row r="4061" spans="20:20" x14ac:dyDescent="0.25">
      <c r="T4061" s="1"/>
    </row>
    <row r="4062" spans="20:20" x14ac:dyDescent="0.25">
      <c r="T4062" s="1"/>
    </row>
    <row r="4063" spans="20:20" x14ac:dyDescent="0.25">
      <c r="T4063" s="1"/>
    </row>
    <row r="4064" spans="20:20" x14ac:dyDescent="0.25">
      <c r="T4064" s="1"/>
    </row>
    <row r="4065" spans="20:20" x14ac:dyDescent="0.25">
      <c r="T4065" s="1"/>
    </row>
    <row r="4066" spans="20:20" x14ac:dyDescent="0.25">
      <c r="T4066" s="1"/>
    </row>
    <row r="4067" spans="20:20" x14ac:dyDescent="0.25">
      <c r="T4067" s="1"/>
    </row>
    <row r="4068" spans="20:20" x14ac:dyDescent="0.25">
      <c r="T4068" s="1"/>
    </row>
    <row r="4069" spans="20:20" x14ac:dyDescent="0.25">
      <c r="T4069" s="1"/>
    </row>
    <row r="4070" spans="20:20" x14ac:dyDescent="0.25">
      <c r="T4070" s="1"/>
    </row>
    <row r="4071" spans="20:20" x14ac:dyDescent="0.25">
      <c r="T4071" s="1"/>
    </row>
    <row r="4072" spans="20:20" x14ac:dyDescent="0.25">
      <c r="T4072" s="1"/>
    </row>
    <row r="4073" spans="20:20" x14ac:dyDescent="0.25">
      <c r="T4073" s="1"/>
    </row>
    <row r="4074" spans="20:20" x14ac:dyDescent="0.25">
      <c r="T4074" s="1"/>
    </row>
    <row r="4075" spans="20:20" x14ac:dyDescent="0.25">
      <c r="T4075" s="1"/>
    </row>
    <row r="4076" spans="20:20" x14ac:dyDescent="0.25">
      <c r="T4076" s="1"/>
    </row>
    <row r="4077" spans="20:20" x14ac:dyDescent="0.25">
      <c r="T4077" s="1"/>
    </row>
    <row r="4078" spans="20:20" x14ac:dyDescent="0.25">
      <c r="T4078" s="1"/>
    </row>
    <row r="4079" spans="20:20" x14ac:dyDescent="0.25">
      <c r="T4079" s="1"/>
    </row>
    <row r="4080" spans="20:20" x14ac:dyDescent="0.25">
      <c r="T4080" s="1"/>
    </row>
    <row r="4081" spans="20:20" x14ac:dyDescent="0.25">
      <c r="T4081" s="1"/>
    </row>
    <row r="4082" spans="20:20" x14ac:dyDescent="0.25">
      <c r="T4082" s="1"/>
    </row>
    <row r="4083" spans="20:20" x14ac:dyDescent="0.25">
      <c r="T4083" s="1"/>
    </row>
    <row r="4084" spans="20:20" x14ac:dyDescent="0.25">
      <c r="T4084" s="1"/>
    </row>
    <row r="4085" spans="20:20" x14ac:dyDescent="0.25">
      <c r="T4085" s="1"/>
    </row>
    <row r="4086" spans="20:20" x14ac:dyDescent="0.25">
      <c r="T4086" s="1"/>
    </row>
    <row r="4087" spans="20:20" x14ac:dyDescent="0.25">
      <c r="T4087" s="1"/>
    </row>
    <row r="4088" spans="20:20" x14ac:dyDescent="0.25">
      <c r="T4088" s="1"/>
    </row>
    <row r="4089" spans="20:20" x14ac:dyDescent="0.25">
      <c r="T4089" s="1"/>
    </row>
    <row r="4090" spans="20:20" x14ac:dyDescent="0.25">
      <c r="T4090" s="1"/>
    </row>
    <row r="4091" spans="20:20" x14ac:dyDescent="0.25">
      <c r="T4091" s="1"/>
    </row>
    <row r="4092" spans="20:20" x14ac:dyDescent="0.25">
      <c r="T4092" s="1"/>
    </row>
    <row r="4093" spans="20:20" x14ac:dyDescent="0.25">
      <c r="T4093" s="1"/>
    </row>
    <row r="4094" spans="20:20" x14ac:dyDescent="0.25">
      <c r="T4094" s="1"/>
    </row>
    <row r="4095" spans="20:20" x14ac:dyDescent="0.25">
      <c r="T4095" s="1"/>
    </row>
    <row r="4096" spans="20:20" x14ac:dyDescent="0.25">
      <c r="T4096" s="1"/>
    </row>
    <row r="4097" spans="20:20" x14ac:dyDescent="0.25">
      <c r="T4097" s="1"/>
    </row>
    <row r="4098" spans="20:20" x14ac:dyDescent="0.25">
      <c r="T4098" s="1"/>
    </row>
    <row r="4099" spans="20:20" x14ac:dyDescent="0.25">
      <c r="T4099" s="1"/>
    </row>
    <row r="4100" spans="20:20" x14ac:dyDescent="0.25">
      <c r="T4100" s="1"/>
    </row>
    <row r="4101" spans="20:20" x14ac:dyDescent="0.25">
      <c r="T4101" s="1"/>
    </row>
    <row r="4102" spans="20:20" x14ac:dyDescent="0.25">
      <c r="T4102" s="1"/>
    </row>
    <row r="4103" spans="20:20" x14ac:dyDescent="0.25">
      <c r="T4103" s="1"/>
    </row>
    <row r="4104" spans="20:20" x14ac:dyDescent="0.25">
      <c r="T4104" s="1"/>
    </row>
    <row r="4105" spans="20:20" x14ac:dyDescent="0.25">
      <c r="T4105" s="1"/>
    </row>
    <row r="4106" spans="20:20" x14ac:dyDescent="0.25">
      <c r="T4106" s="1"/>
    </row>
    <row r="4107" spans="20:20" x14ac:dyDescent="0.25">
      <c r="T4107" s="1"/>
    </row>
    <row r="4108" spans="20:20" x14ac:dyDescent="0.25">
      <c r="T4108" s="1"/>
    </row>
    <row r="4109" spans="20:20" x14ac:dyDescent="0.25">
      <c r="T4109" s="1"/>
    </row>
    <row r="4110" spans="20:20" x14ac:dyDescent="0.25">
      <c r="T4110" s="1"/>
    </row>
    <row r="4111" spans="20:20" x14ac:dyDescent="0.25">
      <c r="T4111" s="1"/>
    </row>
    <row r="4112" spans="20:20" x14ac:dyDescent="0.25">
      <c r="T4112" s="1"/>
    </row>
    <row r="4113" spans="20:20" x14ac:dyDescent="0.25">
      <c r="T4113" s="1"/>
    </row>
    <row r="4114" spans="20:20" x14ac:dyDescent="0.25">
      <c r="T4114" s="1"/>
    </row>
    <row r="4115" spans="20:20" x14ac:dyDescent="0.25">
      <c r="T4115" s="1"/>
    </row>
    <row r="4116" spans="20:20" x14ac:dyDescent="0.25">
      <c r="T4116" s="1"/>
    </row>
    <row r="4117" spans="20:20" x14ac:dyDescent="0.25">
      <c r="T4117" s="1"/>
    </row>
    <row r="4118" spans="20:20" x14ac:dyDescent="0.25">
      <c r="T4118" s="1"/>
    </row>
    <row r="4119" spans="20:20" x14ac:dyDescent="0.25">
      <c r="T4119" s="1"/>
    </row>
    <row r="4120" spans="20:20" x14ac:dyDescent="0.25">
      <c r="T4120" s="1"/>
    </row>
    <row r="4121" spans="20:20" x14ac:dyDescent="0.25">
      <c r="T4121" s="1"/>
    </row>
    <row r="4122" spans="20:20" x14ac:dyDescent="0.25">
      <c r="T4122" s="1"/>
    </row>
    <row r="4123" spans="20:20" x14ac:dyDescent="0.25">
      <c r="T4123" s="1"/>
    </row>
    <row r="4124" spans="20:20" x14ac:dyDescent="0.25">
      <c r="T4124" s="1"/>
    </row>
    <row r="4125" spans="20:20" x14ac:dyDescent="0.25">
      <c r="T4125" s="1"/>
    </row>
    <row r="4126" spans="20:20" x14ac:dyDescent="0.25">
      <c r="T4126" s="1"/>
    </row>
    <row r="4127" spans="20:20" x14ac:dyDescent="0.25">
      <c r="T4127" s="1"/>
    </row>
    <row r="4128" spans="20:20" x14ac:dyDescent="0.25">
      <c r="T4128" s="1"/>
    </row>
    <row r="4129" spans="20:20" x14ac:dyDescent="0.25">
      <c r="T4129" s="1"/>
    </row>
    <row r="4130" spans="20:20" x14ac:dyDescent="0.25">
      <c r="T4130" s="1"/>
    </row>
    <row r="4131" spans="20:20" x14ac:dyDescent="0.25">
      <c r="T4131" s="1"/>
    </row>
    <row r="4132" spans="20:20" x14ac:dyDescent="0.25">
      <c r="T4132" s="1"/>
    </row>
    <row r="4133" spans="20:20" x14ac:dyDescent="0.25">
      <c r="T4133" s="1"/>
    </row>
    <row r="4134" spans="20:20" x14ac:dyDescent="0.25">
      <c r="T4134" s="1"/>
    </row>
    <row r="4135" spans="20:20" x14ac:dyDescent="0.25">
      <c r="T4135" s="1"/>
    </row>
    <row r="4136" spans="20:20" x14ac:dyDescent="0.25">
      <c r="T4136" s="1"/>
    </row>
    <row r="4137" spans="20:20" x14ac:dyDescent="0.25">
      <c r="T4137" s="1"/>
    </row>
    <row r="4138" spans="20:20" x14ac:dyDescent="0.25">
      <c r="T4138" s="1"/>
    </row>
    <row r="4139" spans="20:20" x14ac:dyDescent="0.25">
      <c r="T4139" s="1"/>
    </row>
    <row r="4140" spans="20:20" x14ac:dyDescent="0.25">
      <c r="T4140" s="1"/>
    </row>
    <row r="4141" spans="20:20" x14ac:dyDescent="0.25">
      <c r="T4141" s="1"/>
    </row>
    <row r="4142" spans="20:20" x14ac:dyDescent="0.25">
      <c r="T4142" s="1"/>
    </row>
    <row r="4143" spans="20:20" x14ac:dyDescent="0.25">
      <c r="T4143" s="1"/>
    </row>
    <row r="4144" spans="20:20" x14ac:dyDescent="0.25">
      <c r="T4144" s="1"/>
    </row>
    <row r="4145" spans="20:20" x14ac:dyDescent="0.25">
      <c r="T4145" s="1"/>
    </row>
    <row r="4146" spans="20:20" x14ac:dyDescent="0.25">
      <c r="T4146" s="1"/>
    </row>
    <row r="4147" spans="20:20" x14ac:dyDescent="0.25">
      <c r="T4147" s="1"/>
    </row>
    <row r="4148" spans="20:20" x14ac:dyDescent="0.25">
      <c r="T4148" s="1"/>
    </row>
    <row r="4149" spans="20:20" x14ac:dyDescent="0.25">
      <c r="T4149" s="1"/>
    </row>
    <row r="4150" spans="20:20" x14ac:dyDescent="0.25">
      <c r="T4150" s="1"/>
    </row>
    <row r="4151" spans="20:20" x14ac:dyDescent="0.25">
      <c r="T4151" s="1"/>
    </row>
    <row r="4152" spans="20:20" x14ac:dyDescent="0.25">
      <c r="T4152" s="1"/>
    </row>
    <row r="4153" spans="20:20" x14ac:dyDescent="0.25">
      <c r="T4153" s="1"/>
    </row>
    <row r="4154" spans="20:20" x14ac:dyDescent="0.25">
      <c r="T4154" s="1"/>
    </row>
    <row r="4155" spans="20:20" x14ac:dyDescent="0.25">
      <c r="T4155" s="1"/>
    </row>
    <row r="4156" spans="20:20" x14ac:dyDescent="0.25">
      <c r="T4156" s="1"/>
    </row>
    <row r="4157" spans="20:20" x14ac:dyDescent="0.25">
      <c r="T4157" s="1"/>
    </row>
    <row r="4158" spans="20:20" x14ac:dyDescent="0.25">
      <c r="T4158" s="1"/>
    </row>
    <row r="4159" spans="20:20" x14ac:dyDescent="0.25">
      <c r="T4159" s="1"/>
    </row>
    <row r="4160" spans="20:20" x14ac:dyDescent="0.25">
      <c r="T4160" s="1"/>
    </row>
    <row r="4161" spans="20:20" x14ac:dyDescent="0.25">
      <c r="T4161" s="1"/>
    </row>
    <row r="4162" spans="20:20" x14ac:dyDescent="0.25">
      <c r="T4162" s="1"/>
    </row>
    <row r="4163" spans="20:20" x14ac:dyDescent="0.25">
      <c r="T4163" s="1"/>
    </row>
    <row r="4164" spans="20:20" x14ac:dyDescent="0.25">
      <c r="T4164" s="1"/>
    </row>
    <row r="4165" spans="20:20" x14ac:dyDescent="0.25">
      <c r="T4165" s="1"/>
    </row>
    <row r="4166" spans="20:20" x14ac:dyDescent="0.25">
      <c r="T4166" s="1"/>
    </row>
    <row r="4167" spans="20:20" x14ac:dyDescent="0.25">
      <c r="T4167" s="1"/>
    </row>
    <row r="4168" spans="20:20" x14ac:dyDescent="0.25">
      <c r="T4168" s="1"/>
    </row>
    <row r="4169" spans="20:20" x14ac:dyDescent="0.25">
      <c r="T4169" s="1"/>
    </row>
    <row r="4170" spans="20:20" x14ac:dyDescent="0.25">
      <c r="T4170" s="1"/>
    </row>
    <row r="4171" spans="20:20" x14ac:dyDescent="0.25">
      <c r="T4171" s="1"/>
    </row>
    <row r="4172" spans="20:20" x14ac:dyDescent="0.25">
      <c r="T4172" s="1"/>
    </row>
    <row r="4173" spans="20:20" x14ac:dyDescent="0.25">
      <c r="T4173" s="1"/>
    </row>
    <row r="4174" spans="20:20" x14ac:dyDescent="0.25">
      <c r="T4174" s="1"/>
    </row>
    <row r="4175" spans="20:20" x14ac:dyDescent="0.25">
      <c r="T4175" s="1"/>
    </row>
    <row r="4176" spans="20:20" x14ac:dyDescent="0.25">
      <c r="T4176" s="1"/>
    </row>
    <row r="4177" spans="20:20" x14ac:dyDescent="0.25">
      <c r="T4177" s="1"/>
    </row>
    <row r="4178" spans="20:20" x14ac:dyDescent="0.25">
      <c r="T4178" s="1"/>
    </row>
    <row r="4179" spans="20:20" x14ac:dyDescent="0.25">
      <c r="T4179" s="1"/>
    </row>
    <row r="4180" spans="20:20" x14ac:dyDescent="0.25">
      <c r="T4180" s="1"/>
    </row>
    <row r="4181" spans="20:20" x14ac:dyDescent="0.25">
      <c r="T4181" s="1"/>
    </row>
    <row r="4182" spans="20:20" x14ac:dyDescent="0.25">
      <c r="T4182" s="1"/>
    </row>
    <row r="4183" spans="20:20" x14ac:dyDescent="0.25">
      <c r="T4183" s="1"/>
    </row>
    <row r="4184" spans="20:20" x14ac:dyDescent="0.25">
      <c r="T4184" s="1"/>
    </row>
    <row r="4185" spans="20:20" x14ac:dyDescent="0.25">
      <c r="T4185" s="1"/>
    </row>
    <row r="4186" spans="20:20" x14ac:dyDescent="0.25">
      <c r="T4186" s="1"/>
    </row>
    <row r="4187" spans="20:20" x14ac:dyDescent="0.25">
      <c r="T4187" s="1"/>
    </row>
    <row r="4188" spans="20:20" x14ac:dyDescent="0.25">
      <c r="T4188" s="1"/>
    </row>
    <row r="4189" spans="20:20" x14ac:dyDescent="0.25">
      <c r="T4189" s="1"/>
    </row>
    <row r="4190" spans="20:20" x14ac:dyDescent="0.25">
      <c r="T4190" s="1"/>
    </row>
    <row r="4191" spans="20:20" x14ac:dyDescent="0.25">
      <c r="T4191" s="1"/>
    </row>
    <row r="4192" spans="20:20" x14ac:dyDescent="0.25">
      <c r="T4192" s="1"/>
    </row>
    <row r="4193" spans="20:20" x14ac:dyDescent="0.25">
      <c r="T4193" s="1"/>
    </row>
    <row r="4194" spans="20:20" x14ac:dyDescent="0.25">
      <c r="T4194" s="1"/>
    </row>
    <row r="4195" spans="20:20" x14ac:dyDescent="0.25">
      <c r="T4195" s="1"/>
    </row>
    <row r="4196" spans="20:20" x14ac:dyDescent="0.25">
      <c r="T4196" s="1"/>
    </row>
    <row r="4197" spans="20:20" x14ac:dyDescent="0.25">
      <c r="T4197" s="1"/>
    </row>
    <row r="4198" spans="20:20" x14ac:dyDescent="0.25">
      <c r="T4198" s="1"/>
    </row>
    <row r="4199" spans="20:20" x14ac:dyDescent="0.25">
      <c r="T4199" s="1"/>
    </row>
    <row r="4200" spans="20:20" x14ac:dyDescent="0.25">
      <c r="T4200" s="1"/>
    </row>
    <row r="4201" spans="20:20" x14ac:dyDescent="0.25">
      <c r="T4201" s="1"/>
    </row>
    <row r="4202" spans="20:20" x14ac:dyDescent="0.25">
      <c r="T4202" s="1"/>
    </row>
    <row r="4203" spans="20:20" x14ac:dyDescent="0.25">
      <c r="T4203" s="1"/>
    </row>
    <row r="4204" spans="20:20" x14ac:dyDescent="0.25">
      <c r="T4204" s="1"/>
    </row>
    <row r="4205" spans="20:20" x14ac:dyDescent="0.25">
      <c r="T4205" s="1"/>
    </row>
    <row r="4206" spans="20:20" x14ac:dyDescent="0.25">
      <c r="T4206" s="1"/>
    </row>
    <row r="4207" spans="20:20" x14ac:dyDescent="0.25">
      <c r="T4207" s="1"/>
    </row>
    <row r="4208" spans="20:20" x14ac:dyDescent="0.25">
      <c r="T4208" s="1"/>
    </row>
    <row r="4209" spans="20:20" x14ac:dyDescent="0.25">
      <c r="T4209" s="1"/>
    </row>
    <row r="4210" spans="20:20" x14ac:dyDescent="0.25">
      <c r="T4210" s="1"/>
    </row>
    <row r="4211" spans="20:20" x14ac:dyDescent="0.25">
      <c r="T4211" s="1"/>
    </row>
    <row r="4212" spans="20:20" x14ac:dyDescent="0.25">
      <c r="T4212" s="1"/>
    </row>
    <row r="4213" spans="20:20" x14ac:dyDescent="0.25">
      <c r="T4213" s="1"/>
    </row>
    <row r="4214" spans="20:20" x14ac:dyDescent="0.25">
      <c r="T4214" s="1"/>
    </row>
    <row r="4215" spans="20:20" x14ac:dyDescent="0.25">
      <c r="T4215" s="1"/>
    </row>
    <row r="4216" spans="20:20" x14ac:dyDescent="0.25">
      <c r="T4216" s="1"/>
    </row>
    <row r="4217" spans="20:20" x14ac:dyDescent="0.25">
      <c r="T4217" s="1"/>
    </row>
    <row r="4218" spans="20:20" x14ac:dyDescent="0.25">
      <c r="T4218" s="1"/>
    </row>
    <row r="4219" spans="20:20" x14ac:dyDescent="0.25">
      <c r="T4219" s="1"/>
    </row>
    <row r="4220" spans="20:20" x14ac:dyDescent="0.25">
      <c r="T4220" s="1"/>
    </row>
    <row r="4221" spans="20:20" x14ac:dyDescent="0.25">
      <c r="T4221" s="1"/>
    </row>
    <row r="4222" spans="20:20" x14ac:dyDescent="0.25">
      <c r="T4222" s="1"/>
    </row>
    <row r="4223" spans="20:20" x14ac:dyDescent="0.25">
      <c r="T4223" s="1"/>
    </row>
    <row r="4224" spans="20:20" x14ac:dyDescent="0.25">
      <c r="T4224" s="1"/>
    </row>
    <row r="4225" spans="20:20" x14ac:dyDescent="0.25">
      <c r="T4225" s="1"/>
    </row>
    <row r="4226" spans="20:20" x14ac:dyDescent="0.25">
      <c r="T4226" s="1"/>
    </row>
    <row r="4227" spans="20:20" x14ac:dyDescent="0.25">
      <c r="T4227" s="1"/>
    </row>
    <row r="4228" spans="20:20" x14ac:dyDescent="0.25">
      <c r="T4228" s="1"/>
    </row>
    <row r="4229" spans="20:20" x14ac:dyDescent="0.25">
      <c r="T4229" s="1"/>
    </row>
    <row r="4230" spans="20:20" x14ac:dyDescent="0.25">
      <c r="T4230" s="1"/>
    </row>
    <row r="4231" spans="20:20" x14ac:dyDescent="0.25">
      <c r="T4231" s="1"/>
    </row>
    <row r="4232" spans="20:20" x14ac:dyDescent="0.25">
      <c r="T4232" s="1"/>
    </row>
    <row r="4233" spans="20:20" x14ac:dyDescent="0.25">
      <c r="T4233" s="1"/>
    </row>
    <row r="4234" spans="20:20" x14ac:dyDescent="0.25">
      <c r="T4234" s="1"/>
    </row>
    <row r="4235" spans="20:20" x14ac:dyDescent="0.25">
      <c r="T4235" s="1"/>
    </row>
    <row r="4236" spans="20:20" x14ac:dyDescent="0.25">
      <c r="T4236" s="1"/>
    </row>
    <row r="4237" spans="20:20" x14ac:dyDescent="0.25">
      <c r="T4237" s="1"/>
    </row>
    <row r="4238" spans="20:20" x14ac:dyDescent="0.25">
      <c r="T4238" s="1"/>
    </row>
    <row r="4239" spans="20:20" x14ac:dyDescent="0.25">
      <c r="T4239" s="1"/>
    </row>
    <row r="4240" spans="20:20" x14ac:dyDescent="0.25">
      <c r="T4240" s="1"/>
    </row>
    <row r="4241" spans="20:20" x14ac:dyDescent="0.25">
      <c r="T4241" s="1"/>
    </row>
    <row r="4242" spans="20:20" x14ac:dyDescent="0.25">
      <c r="T4242" s="1"/>
    </row>
    <row r="4243" spans="20:20" x14ac:dyDescent="0.25">
      <c r="T4243" s="1"/>
    </row>
    <row r="4244" spans="20:20" x14ac:dyDescent="0.25">
      <c r="T4244" s="1"/>
    </row>
    <row r="4245" spans="20:20" x14ac:dyDescent="0.25">
      <c r="T4245" s="1"/>
    </row>
    <row r="4246" spans="20:20" x14ac:dyDescent="0.25">
      <c r="T4246" s="1"/>
    </row>
    <row r="4247" spans="20:20" x14ac:dyDescent="0.25">
      <c r="T4247" s="1"/>
    </row>
    <row r="4248" spans="20:20" x14ac:dyDescent="0.25">
      <c r="T4248" s="1"/>
    </row>
    <row r="4249" spans="20:20" x14ac:dyDescent="0.25">
      <c r="T4249" s="1"/>
    </row>
    <row r="4250" spans="20:20" x14ac:dyDescent="0.25">
      <c r="T4250" s="1"/>
    </row>
    <row r="4251" spans="20:20" x14ac:dyDescent="0.25">
      <c r="T4251" s="1"/>
    </row>
    <row r="4252" spans="20:20" x14ac:dyDescent="0.25">
      <c r="T4252" s="1"/>
    </row>
    <row r="4253" spans="20:20" x14ac:dyDescent="0.25">
      <c r="T4253" s="1"/>
    </row>
    <row r="4254" spans="20:20" x14ac:dyDescent="0.25">
      <c r="T4254" s="1"/>
    </row>
    <row r="4255" spans="20:20" x14ac:dyDescent="0.25">
      <c r="T4255" s="1"/>
    </row>
    <row r="4256" spans="20:20" x14ac:dyDescent="0.25">
      <c r="T4256" s="1"/>
    </row>
    <row r="4257" spans="20:20" x14ac:dyDescent="0.25">
      <c r="T4257" s="1"/>
    </row>
    <row r="4258" spans="20:20" x14ac:dyDescent="0.25">
      <c r="T4258" s="1"/>
    </row>
    <row r="4259" spans="20:20" x14ac:dyDescent="0.25">
      <c r="T4259" s="1"/>
    </row>
    <row r="4260" spans="20:20" x14ac:dyDescent="0.25">
      <c r="T4260" s="1"/>
    </row>
    <row r="4261" spans="20:20" x14ac:dyDescent="0.25">
      <c r="T4261" s="1"/>
    </row>
    <row r="4262" spans="20:20" x14ac:dyDescent="0.25">
      <c r="T4262" s="1"/>
    </row>
    <row r="4263" spans="20:20" x14ac:dyDescent="0.25">
      <c r="T4263" s="1"/>
    </row>
    <row r="4264" spans="20:20" x14ac:dyDescent="0.25">
      <c r="T4264" s="1"/>
    </row>
    <row r="4265" spans="20:20" x14ac:dyDescent="0.25">
      <c r="T4265" s="1"/>
    </row>
    <row r="4266" spans="20:20" x14ac:dyDescent="0.25">
      <c r="T4266" s="1"/>
    </row>
    <row r="4267" spans="20:20" x14ac:dyDescent="0.25">
      <c r="T4267" s="1"/>
    </row>
    <row r="4268" spans="20:20" x14ac:dyDescent="0.25">
      <c r="T4268" s="1"/>
    </row>
    <row r="4269" spans="20:20" x14ac:dyDescent="0.25">
      <c r="T4269" s="1"/>
    </row>
    <row r="4270" spans="20:20" x14ac:dyDescent="0.25">
      <c r="T4270" s="1"/>
    </row>
    <row r="4271" spans="20:20" x14ac:dyDescent="0.25">
      <c r="T4271" s="1"/>
    </row>
    <row r="4272" spans="20:20" x14ac:dyDescent="0.25">
      <c r="T4272" s="1"/>
    </row>
    <row r="4273" spans="20:20" x14ac:dyDescent="0.25">
      <c r="T4273" s="1"/>
    </row>
    <row r="4274" spans="20:20" x14ac:dyDescent="0.25">
      <c r="T4274" s="1"/>
    </row>
    <row r="4275" spans="20:20" x14ac:dyDescent="0.25">
      <c r="T4275" s="1"/>
    </row>
    <row r="4276" spans="20:20" x14ac:dyDescent="0.25">
      <c r="T4276" s="1"/>
    </row>
    <row r="4277" spans="20:20" x14ac:dyDescent="0.25">
      <c r="T4277" s="1"/>
    </row>
    <row r="4278" spans="20:20" x14ac:dyDescent="0.25">
      <c r="T4278" s="1"/>
    </row>
    <row r="4279" spans="20:20" x14ac:dyDescent="0.25">
      <c r="T4279" s="1"/>
    </row>
    <row r="4280" spans="20:20" x14ac:dyDescent="0.25">
      <c r="T4280" s="1"/>
    </row>
    <row r="4281" spans="20:20" x14ac:dyDescent="0.25">
      <c r="T4281" s="1"/>
    </row>
    <row r="4282" spans="20:20" x14ac:dyDescent="0.25">
      <c r="T4282" s="1"/>
    </row>
    <row r="4283" spans="20:20" x14ac:dyDescent="0.25">
      <c r="T4283" s="1"/>
    </row>
    <row r="4284" spans="20:20" x14ac:dyDescent="0.25">
      <c r="T4284" s="1"/>
    </row>
    <row r="4285" spans="20:20" x14ac:dyDescent="0.25">
      <c r="T4285" s="1"/>
    </row>
    <row r="4286" spans="20:20" x14ac:dyDescent="0.25">
      <c r="T4286" s="1"/>
    </row>
    <row r="4287" spans="20:20" x14ac:dyDescent="0.25">
      <c r="T4287" s="1"/>
    </row>
    <row r="4288" spans="20:20" x14ac:dyDescent="0.25">
      <c r="T4288" s="1"/>
    </row>
    <row r="4289" spans="20:20" x14ac:dyDescent="0.25">
      <c r="T4289" s="1"/>
    </row>
    <row r="4290" spans="20:20" x14ac:dyDescent="0.25">
      <c r="T4290" s="1"/>
    </row>
    <row r="4291" spans="20:20" x14ac:dyDescent="0.25">
      <c r="T4291" s="1"/>
    </row>
    <row r="4292" spans="20:20" x14ac:dyDescent="0.25">
      <c r="T4292" s="1"/>
    </row>
    <row r="4293" spans="20:20" x14ac:dyDescent="0.25">
      <c r="T4293" s="1"/>
    </row>
    <row r="4294" spans="20:20" x14ac:dyDescent="0.25">
      <c r="T4294" s="1"/>
    </row>
    <row r="4295" spans="20:20" x14ac:dyDescent="0.25">
      <c r="T4295" s="1"/>
    </row>
    <row r="4296" spans="20:20" x14ac:dyDescent="0.25">
      <c r="T4296" s="1"/>
    </row>
    <row r="4297" spans="20:20" x14ac:dyDescent="0.25">
      <c r="T4297" s="1"/>
    </row>
    <row r="4298" spans="20:20" x14ac:dyDescent="0.25">
      <c r="T4298" s="1"/>
    </row>
    <row r="4299" spans="20:20" x14ac:dyDescent="0.25">
      <c r="T4299" s="1"/>
    </row>
    <row r="4300" spans="20:20" x14ac:dyDescent="0.25">
      <c r="T4300" s="1"/>
    </row>
    <row r="4301" spans="20:20" x14ac:dyDescent="0.25">
      <c r="T4301" s="1"/>
    </row>
    <row r="4302" spans="20:20" x14ac:dyDescent="0.25">
      <c r="T4302" s="1"/>
    </row>
    <row r="4303" spans="20:20" x14ac:dyDescent="0.25">
      <c r="T4303" s="1"/>
    </row>
    <row r="4304" spans="20:20" x14ac:dyDescent="0.25">
      <c r="T4304" s="1"/>
    </row>
    <row r="4305" spans="20:20" x14ac:dyDescent="0.25">
      <c r="T4305" s="1"/>
    </row>
    <row r="4306" spans="20:20" x14ac:dyDescent="0.25">
      <c r="T4306" s="1"/>
    </row>
    <row r="4307" spans="20:20" x14ac:dyDescent="0.25">
      <c r="T4307" s="1"/>
    </row>
    <row r="4308" spans="20:20" x14ac:dyDescent="0.25">
      <c r="T4308" s="1"/>
    </row>
    <row r="4309" spans="20:20" x14ac:dyDescent="0.25">
      <c r="T4309" s="1"/>
    </row>
    <row r="4310" spans="20:20" x14ac:dyDescent="0.25">
      <c r="T4310" s="1"/>
    </row>
    <row r="4311" spans="20:20" x14ac:dyDescent="0.25">
      <c r="T4311" s="1"/>
    </row>
    <row r="4312" spans="20:20" x14ac:dyDescent="0.25">
      <c r="T4312" s="1"/>
    </row>
    <row r="4313" spans="20:20" x14ac:dyDescent="0.25">
      <c r="T4313" s="1"/>
    </row>
    <row r="4314" spans="20:20" x14ac:dyDescent="0.25">
      <c r="T4314" s="1"/>
    </row>
    <row r="4315" spans="20:20" x14ac:dyDescent="0.25">
      <c r="T4315" s="1"/>
    </row>
    <row r="4316" spans="20:20" x14ac:dyDescent="0.25">
      <c r="T4316" s="1"/>
    </row>
    <row r="4317" spans="20:20" x14ac:dyDescent="0.25">
      <c r="T4317" s="1"/>
    </row>
    <row r="4318" spans="20:20" x14ac:dyDescent="0.25">
      <c r="T4318" s="1"/>
    </row>
    <row r="4319" spans="20:20" x14ac:dyDescent="0.25">
      <c r="T4319" s="1"/>
    </row>
    <row r="4320" spans="20:20" x14ac:dyDescent="0.25">
      <c r="T4320" s="1"/>
    </row>
    <row r="4321" spans="20:20" x14ac:dyDescent="0.25">
      <c r="T4321" s="1"/>
    </row>
    <row r="4322" spans="20:20" x14ac:dyDescent="0.25">
      <c r="T4322" s="1"/>
    </row>
    <row r="4323" spans="20:20" x14ac:dyDescent="0.25">
      <c r="T4323" s="1"/>
    </row>
    <row r="4324" spans="20:20" x14ac:dyDescent="0.25">
      <c r="T4324" s="1"/>
    </row>
    <row r="4325" spans="20:20" x14ac:dyDescent="0.25">
      <c r="T4325" s="1"/>
    </row>
    <row r="4326" spans="20:20" x14ac:dyDescent="0.25">
      <c r="T4326" s="1"/>
    </row>
    <row r="4327" spans="20:20" x14ac:dyDescent="0.25">
      <c r="T4327" s="1"/>
    </row>
    <row r="4328" spans="20:20" x14ac:dyDescent="0.25">
      <c r="T4328" s="1"/>
    </row>
    <row r="4329" spans="20:20" x14ac:dyDescent="0.25">
      <c r="T4329" s="1"/>
    </row>
    <row r="4330" spans="20:20" x14ac:dyDescent="0.25">
      <c r="T4330" s="1"/>
    </row>
    <row r="4331" spans="20:20" x14ac:dyDescent="0.25">
      <c r="T4331" s="1"/>
    </row>
    <row r="4332" spans="20:20" x14ac:dyDescent="0.25">
      <c r="T4332" s="1"/>
    </row>
    <row r="4333" spans="20:20" x14ac:dyDescent="0.25">
      <c r="T4333" s="1"/>
    </row>
    <row r="4334" spans="20:20" x14ac:dyDescent="0.25">
      <c r="T4334" s="1"/>
    </row>
    <row r="4335" spans="20:20" x14ac:dyDescent="0.25">
      <c r="T4335" s="1"/>
    </row>
    <row r="4336" spans="20:20" x14ac:dyDescent="0.25">
      <c r="T4336" s="1"/>
    </row>
    <row r="4337" spans="20:20" x14ac:dyDescent="0.25">
      <c r="T4337" s="1"/>
    </row>
    <row r="4338" spans="20:20" x14ac:dyDescent="0.25">
      <c r="T4338" s="1"/>
    </row>
    <row r="4339" spans="20:20" x14ac:dyDescent="0.25">
      <c r="T4339" s="1"/>
    </row>
    <row r="4340" spans="20:20" x14ac:dyDescent="0.25">
      <c r="T4340" s="1"/>
    </row>
    <row r="4341" spans="20:20" x14ac:dyDescent="0.25">
      <c r="T4341" s="1"/>
    </row>
    <row r="4342" spans="20:20" x14ac:dyDescent="0.25">
      <c r="T4342" s="1"/>
    </row>
    <row r="4343" spans="20:20" x14ac:dyDescent="0.25">
      <c r="T4343" s="1"/>
    </row>
    <row r="4344" spans="20:20" x14ac:dyDescent="0.25">
      <c r="T4344" s="1"/>
    </row>
    <row r="4345" spans="20:20" x14ac:dyDescent="0.25">
      <c r="T4345" s="1"/>
    </row>
    <row r="4346" spans="20:20" x14ac:dyDescent="0.25">
      <c r="T4346" s="1"/>
    </row>
    <row r="4347" spans="20:20" x14ac:dyDescent="0.25">
      <c r="T4347" s="1"/>
    </row>
    <row r="4348" spans="20:20" x14ac:dyDescent="0.25">
      <c r="T4348" s="1"/>
    </row>
    <row r="4349" spans="20:20" x14ac:dyDescent="0.25">
      <c r="T4349" s="1"/>
    </row>
    <row r="4350" spans="20:20" x14ac:dyDescent="0.25">
      <c r="T4350" s="1"/>
    </row>
    <row r="4351" spans="20:20" x14ac:dyDescent="0.25">
      <c r="T4351" s="1"/>
    </row>
    <row r="4352" spans="20:20" x14ac:dyDescent="0.25">
      <c r="T4352" s="1"/>
    </row>
    <row r="4353" spans="20:20" x14ac:dyDescent="0.25">
      <c r="T4353" s="1"/>
    </row>
    <row r="4354" spans="20:20" x14ac:dyDescent="0.25">
      <c r="T4354" s="1"/>
    </row>
    <row r="4355" spans="20:20" x14ac:dyDescent="0.25">
      <c r="T4355" s="1"/>
    </row>
    <row r="4356" spans="20:20" x14ac:dyDescent="0.25">
      <c r="T4356" s="1"/>
    </row>
    <row r="4357" spans="20:20" x14ac:dyDescent="0.25">
      <c r="T4357" s="1"/>
    </row>
    <row r="4358" spans="20:20" x14ac:dyDescent="0.25">
      <c r="T4358" s="1"/>
    </row>
    <row r="4359" spans="20:20" x14ac:dyDescent="0.25">
      <c r="T4359" s="1"/>
    </row>
    <row r="4360" spans="20:20" x14ac:dyDescent="0.25">
      <c r="T4360" s="1"/>
    </row>
    <row r="4361" spans="20:20" x14ac:dyDescent="0.25">
      <c r="T4361" s="1"/>
    </row>
    <row r="4362" spans="20:20" x14ac:dyDescent="0.25">
      <c r="T4362" s="1"/>
    </row>
    <row r="4363" spans="20:20" x14ac:dyDescent="0.25">
      <c r="T4363" s="1"/>
    </row>
    <row r="4364" spans="20:20" x14ac:dyDescent="0.25">
      <c r="T4364" s="1"/>
    </row>
    <row r="4365" spans="20:20" x14ac:dyDescent="0.25">
      <c r="T4365" s="1"/>
    </row>
    <row r="4366" spans="20:20" x14ac:dyDescent="0.25">
      <c r="T4366" s="1"/>
    </row>
    <row r="4367" spans="20:20" x14ac:dyDescent="0.25">
      <c r="T4367" s="1"/>
    </row>
    <row r="4368" spans="20:20" x14ac:dyDescent="0.25">
      <c r="T4368" s="1"/>
    </row>
    <row r="4369" spans="20:20" x14ac:dyDescent="0.25">
      <c r="T4369" s="1"/>
    </row>
    <row r="4370" spans="20:20" x14ac:dyDescent="0.25">
      <c r="T4370" s="1"/>
    </row>
    <row r="4371" spans="20:20" x14ac:dyDescent="0.25">
      <c r="T4371" s="1"/>
    </row>
    <row r="4372" spans="20:20" x14ac:dyDescent="0.25">
      <c r="T4372" s="1"/>
    </row>
    <row r="4373" spans="20:20" x14ac:dyDescent="0.25">
      <c r="T4373" s="1"/>
    </row>
    <row r="4374" spans="20:20" x14ac:dyDescent="0.25">
      <c r="T4374" s="1"/>
    </row>
    <row r="4375" spans="20:20" x14ac:dyDescent="0.25">
      <c r="T4375" s="1"/>
    </row>
    <row r="4376" spans="20:20" x14ac:dyDescent="0.25">
      <c r="T4376" s="1"/>
    </row>
    <row r="4377" spans="20:20" x14ac:dyDescent="0.25">
      <c r="T4377" s="1"/>
    </row>
    <row r="4378" spans="20:20" x14ac:dyDescent="0.25">
      <c r="T4378" s="1"/>
    </row>
    <row r="4379" spans="20:20" x14ac:dyDescent="0.25">
      <c r="T4379" s="1"/>
    </row>
    <row r="4380" spans="20:20" x14ac:dyDescent="0.25">
      <c r="T4380" s="1"/>
    </row>
    <row r="4381" spans="20:20" x14ac:dyDescent="0.25">
      <c r="T4381" s="1"/>
    </row>
    <row r="4382" spans="20:20" x14ac:dyDescent="0.25">
      <c r="T4382" s="1"/>
    </row>
    <row r="4383" spans="20:20" x14ac:dyDescent="0.25">
      <c r="T4383" s="1"/>
    </row>
    <row r="4384" spans="20:20" x14ac:dyDescent="0.25">
      <c r="T4384" s="1"/>
    </row>
    <row r="4385" spans="20:20" x14ac:dyDescent="0.25">
      <c r="T4385" s="1"/>
    </row>
    <row r="4386" spans="20:20" x14ac:dyDescent="0.25">
      <c r="T4386" s="1"/>
    </row>
    <row r="4387" spans="20:20" x14ac:dyDescent="0.25">
      <c r="T4387" s="1"/>
    </row>
    <row r="4388" spans="20:20" x14ac:dyDescent="0.25">
      <c r="T4388" s="1"/>
    </row>
    <row r="4389" spans="20:20" x14ac:dyDescent="0.25">
      <c r="T4389" s="1"/>
    </row>
    <row r="4390" spans="20:20" x14ac:dyDescent="0.25">
      <c r="T4390" s="1"/>
    </row>
    <row r="4391" spans="20:20" x14ac:dyDescent="0.25">
      <c r="T4391" s="1"/>
    </row>
    <row r="4392" spans="20:20" x14ac:dyDescent="0.25">
      <c r="T4392" s="1"/>
    </row>
    <row r="4393" spans="20:20" x14ac:dyDescent="0.25">
      <c r="T4393" s="1"/>
    </row>
    <row r="4394" spans="20:20" x14ac:dyDescent="0.25">
      <c r="T4394" s="1"/>
    </row>
    <row r="4395" spans="20:20" x14ac:dyDescent="0.25">
      <c r="T4395" s="1"/>
    </row>
    <row r="4396" spans="20:20" x14ac:dyDescent="0.25">
      <c r="T4396" s="1"/>
    </row>
    <row r="4397" spans="20:20" x14ac:dyDescent="0.25">
      <c r="T4397" s="1"/>
    </row>
    <row r="4398" spans="20:20" x14ac:dyDescent="0.25">
      <c r="T4398" s="1"/>
    </row>
    <row r="4399" spans="20:20" x14ac:dyDescent="0.25">
      <c r="T4399" s="1"/>
    </row>
    <row r="4400" spans="20:20" x14ac:dyDescent="0.25">
      <c r="T4400" s="1"/>
    </row>
    <row r="4401" spans="20:20" x14ac:dyDescent="0.25">
      <c r="T4401" s="1"/>
    </row>
    <row r="4402" spans="20:20" x14ac:dyDescent="0.25">
      <c r="T4402" s="1"/>
    </row>
    <row r="4403" spans="20:20" x14ac:dyDescent="0.25">
      <c r="T4403" s="1"/>
    </row>
    <row r="4404" spans="20:20" x14ac:dyDescent="0.25">
      <c r="T4404" s="1"/>
    </row>
    <row r="4405" spans="20:20" x14ac:dyDescent="0.25">
      <c r="T4405" s="1"/>
    </row>
    <row r="4406" spans="20:20" x14ac:dyDescent="0.25">
      <c r="T4406" s="1"/>
    </row>
    <row r="4407" spans="20:20" x14ac:dyDescent="0.25">
      <c r="T4407" s="1"/>
    </row>
    <row r="4408" spans="20:20" x14ac:dyDescent="0.25">
      <c r="T4408" s="1"/>
    </row>
    <row r="4409" spans="20:20" x14ac:dyDescent="0.25">
      <c r="T4409" s="1"/>
    </row>
    <row r="4410" spans="20:20" x14ac:dyDescent="0.25">
      <c r="T4410" s="1"/>
    </row>
    <row r="4411" spans="20:20" x14ac:dyDescent="0.25">
      <c r="T4411" s="1"/>
    </row>
    <row r="4412" spans="20:20" x14ac:dyDescent="0.25">
      <c r="T4412" s="1"/>
    </row>
    <row r="4413" spans="20:20" x14ac:dyDescent="0.25">
      <c r="T4413" s="1"/>
    </row>
    <row r="4414" spans="20:20" x14ac:dyDescent="0.25">
      <c r="T4414" s="1"/>
    </row>
    <row r="4415" spans="20:20" x14ac:dyDescent="0.25">
      <c r="T4415" s="1"/>
    </row>
    <row r="4416" spans="20:20" x14ac:dyDescent="0.25">
      <c r="T4416" s="1"/>
    </row>
    <row r="4417" spans="20:20" x14ac:dyDescent="0.25">
      <c r="T4417" s="1"/>
    </row>
    <row r="4418" spans="20:20" x14ac:dyDescent="0.25">
      <c r="T4418" s="1"/>
    </row>
    <row r="4419" spans="20:20" x14ac:dyDescent="0.25">
      <c r="T4419" s="1"/>
    </row>
    <row r="4420" spans="20:20" x14ac:dyDescent="0.25">
      <c r="T4420" s="1"/>
    </row>
    <row r="4421" spans="20:20" x14ac:dyDescent="0.25">
      <c r="T4421" s="1"/>
    </row>
    <row r="4422" spans="20:20" x14ac:dyDescent="0.25">
      <c r="T4422" s="1"/>
    </row>
    <row r="4423" spans="20:20" x14ac:dyDescent="0.25">
      <c r="T4423" s="1"/>
    </row>
    <row r="4424" spans="20:20" x14ac:dyDescent="0.25">
      <c r="T4424" s="1"/>
    </row>
    <row r="4425" spans="20:20" x14ac:dyDescent="0.25">
      <c r="T4425" s="1"/>
    </row>
    <row r="4426" spans="20:20" x14ac:dyDescent="0.25">
      <c r="T4426" s="1"/>
    </row>
    <row r="4427" spans="20:20" x14ac:dyDescent="0.25">
      <c r="T4427" s="1"/>
    </row>
    <row r="4428" spans="20:20" x14ac:dyDescent="0.25">
      <c r="T4428" s="1"/>
    </row>
    <row r="4429" spans="20:20" x14ac:dyDescent="0.25">
      <c r="T4429" s="1"/>
    </row>
    <row r="4430" spans="20:20" x14ac:dyDescent="0.25">
      <c r="T4430" s="1"/>
    </row>
    <row r="4431" spans="20:20" x14ac:dyDescent="0.25">
      <c r="T4431" s="1"/>
    </row>
    <row r="4432" spans="20:20" x14ac:dyDescent="0.25">
      <c r="T4432" s="1"/>
    </row>
    <row r="4433" spans="20:20" x14ac:dyDescent="0.25">
      <c r="T4433" s="1"/>
    </row>
    <row r="4434" spans="20:20" x14ac:dyDescent="0.25">
      <c r="T4434" s="1"/>
    </row>
    <row r="4435" spans="20:20" x14ac:dyDescent="0.25">
      <c r="T4435" s="1"/>
    </row>
    <row r="4436" spans="20:20" x14ac:dyDescent="0.25">
      <c r="T4436" s="1"/>
    </row>
    <row r="4437" spans="20:20" x14ac:dyDescent="0.25">
      <c r="T4437" s="1"/>
    </row>
    <row r="4438" spans="20:20" x14ac:dyDescent="0.25">
      <c r="T4438" s="1"/>
    </row>
    <row r="4439" spans="20:20" x14ac:dyDescent="0.25">
      <c r="T4439" s="1"/>
    </row>
    <row r="4440" spans="20:20" x14ac:dyDescent="0.25">
      <c r="T4440" s="1"/>
    </row>
    <row r="4441" spans="20:20" x14ac:dyDescent="0.25">
      <c r="T4441" s="1"/>
    </row>
    <row r="4442" spans="20:20" x14ac:dyDescent="0.25">
      <c r="T4442" s="1"/>
    </row>
    <row r="4443" spans="20:20" x14ac:dyDescent="0.25">
      <c r="T4443" s="1"/>
    </row>
    <row r="4444" spans="20:20" x14ac:dyDescent="0.25">
      <c r="T4444" s="1"/>
    </row>
    <row r="4445" spans="20:20" x14ac:dyDescent="0.25">
      <c r="T4445" s="1"/>
    </row>
    <row r="4446" spans="20:20" x14ac:dyDescent="0.25">
      <c r="T4446" s="1"/>
    </row>
    <row r="4447" spans="20:20" x14ac:dyDescent="0.25">
      <c r="T4447" s="1"/>
    </row>
    <row r="4448" spans="20:20" x14ac:dyDescent="0.25">
      <c r="T4448" s="1"/>
    </row>
    <row r="4449" spans="20:20" x14ac:dyDescent="0.25">
      <c r="T4449" s="1"/>
    </row>
    <row r="4450" spans="20:20" x14ac:dyDescent="0.25">
      <c r="T4450" s="1"/>
    </row>
    <row r="4451" spans="20:20" x14ac:dyDescent="0.25">
      <c r="T4451" s="1"/>
    </row>
    <row r="4452" spans="20:20" x14ac:dyDescent="0.25">
      <c r="T4452" s="1"/>
    </row>
    <row r="4453" spans="20:20" x14ac:dyDescent="0.25">
      <c r="T4453" s="1"/>
    </row>
    <row r="4454" spans="20:20" x14ac:dyDescent="0.25">
      <c r="T4454" s="1"/>
    </row>
    <row r="4455" spans="20:20" x14ac:dyDescent="0.25">
      <c r="T4455" s="1"/>
    </row>
    <row r="4456" spans="20:20" x14ac:dyDescent="0.25">
      <c r="T4456" s="1"/>
    </row>
    <row r="4457" spans="20:20" x14ac:dyDescent="0.25">
      <c r="T4457" s="1"/>
    </row>
    <row r="4458" spans="20:20" x14ac:dyDescent="0.25">
      <c r="T4458" s="1"/>
    </row>
    <row r="4459" spans="20:20" x14ac:dyDescent="0.25">
      <c r="T4459" s="1"/>
    </row>
    <row r="4460" spans="20:20" x14ac:dyDescent="0.25">
      <c r="T4460" s="1"/>
    </row>
    <row r="4461" spans="20:20" x14ac:dyDescent="0.25">
      <c r="T4461" s="1"/>
    </row>
    <row r="4462" spans="20:20" x14ac:dyDescent="0.25">
      <c r="T4462" s="1"/>
    </row>
    <row r="4463" spans="20:20" x14ac:dyDescent="0.25">
      <c r="T4463" s="1"/>
    </row>
    <row r="4464" spans="20:20" x14ac:dyDescent="0.25">
      <c r="T4464" s="1"/>
    </row>
    <row r="4465" spans="20:20" x14ac:dyDescent="0.25">
      <c r="T4465" s="1"/>
    </row>
    <row r="4466" spans="20:20" x14ac:dyDescent="0.25">
      <c r="T4466" s="1"/>
    </row>
    <row r="4467" spans="20:20" x14ac:dyDescent="0.25">
      <c r="T4467" s="1"/>
    </row>
    <row r="4468" spans="20:20" x14ac:dyDescent="0.25">
      <c r="T4468" s="1"/>
    </row>
    <row r="4469" spans="20:20" x14ac:dyDescent="0.25">
      <c r="T4469" s="1"/>
    </row>
    <row r="4470" spans="20:20" x14ac:dyDescent="0.25">
      <c r="T4470" s="1"/>
    </row>
    <row r="4471" spans="20:20" x14ac:dyDescent="0.25">
      <c r="T4471" s="1"/>
    </row>
    <row r="4472" spans="20:20" x14ac:dyDescent="0.25">
      <c r="T4472" s="1"/>
    </row>
    <row r="4473" spans="20:20" x14ac:dyDescent="0.25">
      <c r="T4473" s="1"/>
    </row>
    <row r="4474" spans="20:20" x14ac:dyDescent="0.25">
      <c r="T4474" s="1"/>
    </row>
    <row r="4475" spans="20:20" x14ac:dyDescent="0.25">
      <c r="T4475" s="1"/>
    </row>
    <row r="4476" spans="20:20" x14ac:dyDescent="0.25">
      <c r="T4476" s="1"/>
    </row>
    <row r="4477" spans="20:20" x14ac:dyDescent="0.25">
      <c r="T4477" s="1"/>
    </row>
    <row r="4478" spans="20:20" x14ac:dyDescent="0.25">
      <c r="T4478" s="1"/>
    </row>
    <row r="4479" spans="20:20" x14ac:dyDescent="0.25">
      <c r="T4479" s="1"/>
    </row>
    <row r="4480" spans="20:20" x14ac:dyDescent="0.25">
      <c r="T4480" s="1"/>
    </row>
    <row r="4481" spans="20:20" x14ac:dyDescent="0.25">
      <c r="T4481" s="1"/>
    </row>
    <row r="4482" spans="20:20" x14ac:dyDescent="0.25">
      <c r="T4482" s="1"/>
    </row>
    <row r="4483" spans="20:20" x14ac:dyDescent="0.25">
      <c r="T4483" s="1"/>
    </row>
    <row r="4484" spans="20:20" x14ac:dyDescent="0.25">
      <c r="T4484" s="1"/>
    </row>
    <row r="4485" spans="20:20" x14ac:dyDescent="0.25">
      <c r="T4485" s="1"/>
    </row>
    <row r="4486" spans="20:20" x14ac:dyDescent="0.25">
      <c r="T4486" s="1"/>
    </row>
    <row r="4487" spans="20:20" x14ac:dyDescent="0.25">
      <c r="T4487" s="1"/>
    </row>
    <row r="4488" spans="20:20" x14ac:dyDescent="0.25">
      <c r="T4488" s="1"/>
    </row>
    <row r="4489" spans="20:20" x14ac:dyDescent="0.25">
      <c r="T4489" s="1"/>
    </row>
    <row r="4490" spans="20:20" x14ac:dyDescent="0.25">
      <c r="T4490" s="1"/>
    </row>
    <row r="4491" spans="20:20" x14ac:dyDescent="0.25">
      <c r="T4491" s="1"/>
    </row>
    <row r="4492" spans="20:20" x14ac:dyDescent="0.25">
      <c r="T4492" s="1"/>
    </row>
    <row r="4493" spans="20:20" x14ac:dyDescent="0.25">
      <c r="T4493" s="1"/>
    </row>
    <row r="4494" spans="20:20" x14ac:dyDescent="0.25">
      <c r="T4494" s="1"/>
    </row>
    <row r="4495" spans="20:20" x14ac:dyDescent="0.25">
      <c r="T4495" s="1"/>
    </row>
    <row r="4496" spans="20:20" x14ac:dyDescent="0.25">
      <c r="T4496" s="1"/>
    </row>
    <row r="4497" spans="20:20" x14ac:dyDescent="0.25">
      <c r="T4497" s="1"/>
    </row>
    <row r="4498" spans="20:20" x14ac:dyDescent="0.25">
      <c r="T4498" s="1"/>
    </row>
    <row r="4499" spans="20:20" x14ac:dyDescent="0.25">
      <c r="T4499" s="1"/>
    </row>
    <row r="4500" spans="20:20" x14ac:dyDescent="0.25">
      <c r="T4500" s="1"/>
    </row>
    <row r="4501" spans="20:20" x14ac:dyDescent="0.25">
      <c r="T4501" s="1"/>
    </row>
    <row r="4502" spans="20:20" x14ac:dyDescent="0.25">
      <c r="T4502" s="1"/>
    </row>
    <row r="4503" spans="20:20" x14ac:dyDescent="0.25">
      <c r="T4503" s="1"/>
    </row>
    <row r="4504" spans="20:20" x14ac:dyDescent="0.25">
      <c r="T4504" s="1"/>
    </row>
    <row r="4505" spans="20:20" x14ac:dyDescent="0.25">
      <c r="T4505" s="1"/>
    </row>
    <row r="4506" spans="20:20" x14ac:dyDescent="0.25">
      <c r="T4506" s="1"/>
    </row>
    <row r="4507" spans="20:20" x14ac:dyDescent="0.25">
      <c r="T4507" s="1"/>
    </row>
    <row r="4508" spans="20:20" x14ac:dyDescent="0.25">
      <c r="T4508" s="1"/>
    </row>
    <row r="4509" spans="20:20" x14ac:dyDescent="0.25">
      <c r="T4509" s="1"/>
    </row>
    <row r="4510" spans="20:20" x14ac:dyDescent="0.25">
      <c r="T4510" s="1"/>
    </row>
    <row r="4511" spans="20:20" x14ac:dyDescent="0.25">
      <c r="T4511" s="1"/>
    </row>
    <row r="4512" spans="20:20" x14ac:dyDescent="0.25">
      <c r="T4512" s="1"/>
    </row>
    <row r="4513" spans="20:20" x14ac:dyDescent="0.25">
      <c r="T4513" s="1"/>
    </row>
    <row r="4514" spans="20:20" x14ac:dyDescent="0.25">
      <c r="T4514" s="1"/>
    </row>
    <row r="4515" spans="20:20" x14ac:dyDescent="0.25">
      <c r="T4515" s="1"/>
    </row>
    <row r="4516" spans="20:20" x14ac:dyDescent="0.25">
      <c r="T4516" s="1"/>
    </row>
    <row r="4517" spans="20:20" x14ac:dyDescent="0.25">
      <c r="T4517" s="1"/>
    </row>
    <row r="4518" spans="20:20" x14ac:dyDescent="0.25">
      <c r="T4518" s="1"/>
    </row>
    <row r="4519" spans="20:20" x14ac:dyDescent="0.25">
      <c r="T4519" s="1"/>
    </row>
    <row r="4520" spans="20:20" x14ac:dyDescent="0.25">
      <c r="T4520" s="1"/>
    </row>
    <row r="4521" spans="20:20" x14ac:dyDescent="0.25">
      <c r="T4521" s="1"/>
    </row>
    <row r="4522" spans="20:20" x14ac:dyDescent="0.25">
      <c r="T4522" s="1"/>
    </row>
    <row r="4523" spans="20:20" x14ac:dyDescent="0.25">
      <c r="T4523" s="1"/>
    </row>
    <row r="4524" spans="20:20" x14ac:dyDescent="0.25">
      <c r="T4524" s="1"/>
    </row>
    <row r="4525" spans="20:20" x14ac:dyDescent="0.25">
      <c r="T4525" s="1"/>
    </row>
    <row r="4526" spans="20:20" x14ac:dyDescent="0.25">
      <c r="T4526" s="1"/>
    </row>
    <row r="4527" spans="20:20" x14ac:dyDescent="0.25">
      <c r="T4527" s="1"/>
    </row>
    <row r="4528" spans="20:20" x14ac:dyDescent="0.25">
      <c r="T4528" s="1"/>
    </row>
    <row r="4529" spans="20:20" x14ac:dyDescent="0.25">
      <c r="T4529" s="1"/>
    </row>
    <row r="4530" spans="20:20" x14ac:dyDescent="0.25">
      <c r="T4530" s="1"/>
    </row>
    <row r="4531" spans="20:20" x14ac:dyDescent="0.25">
      <c r="T4531" s="1"/>
    </row>
    <row r="4532" spans="20:20" x14ac:dyDescent="0.25">
      <c r="T4532" s="1"/>
    </row>
    <row r="4533" spans="20:20" x14ac:dyDescent="0.25">
      <c r="T4533" s="1"/>
    </row>
    <row r="4534" spans="20:20" x14ac:dyDescent="0.25">
      <c r="T4534" s="1"/>
    </row>
    <row r="4535" spans="20:20" x14ac:dyDescent="0.25">
      <c r="T4535" s="1"/>
    </row>
    <row r="4536" spans="20:20" x14ac:dyDescent="0.25">
      <c r="T4536" s="1"/>
    </row>
    <row r="4537" spans="20:20" x14ac:dyDescent="0.25">
      <c r="T4537" s="1"/>
    </row>
    <row r="4538" spans="20:20" x14ac:dyDescent="0.25">
      <c r="T4538" s="1"/>
    </row>
    <row r="4539" spans="20:20" x14ac:dyDescent="0.25">
      <c r="T4539" s="1"/>
    </row>
    <row r="4540" spans="20:20" x14ac:dyDescent="0.25">
      <c r="T4540" s="1"/>
    </row>
    <row r="4541" spans="20:20" x14ac:dyDescent="0.25">
      <c r="T4541" s="1"/>
    </row>
    <row r="4542" spans="20:20" x14ac:dyDescent="0.25">
      <c r="T4542" s="1"/>
    </row>
    <row r="4543" spans="20:20" x14ac:dyDescent="0.25">
      <c r="T4543" s="1"/>
    </row>
    <row r="4544" spans="20:20" x14ac:dyDescent="0.25">
      <c r="T4544" s="1"/>
    </row>
    <row r="4545" spans="20:20" x14ac:dyDescent="0.25">
      <c r="T4545" s="1"/>
    </row>
    <row r="4546" spans="20:20" x14ac:dyDescent="0.25">
      <c r="T4546" s="1"/>
    </row>
    <row r="4547" spans="20:20" x14ac:dyDescent="0.25">
      <c r="T4547" s="1"/>
    </row>
    <row r="4548" spans="20:20" x14ac:dyDescent="0.25">
      <c r="T4548" s="1"/>
    </row>
    <row r="4549" spans="20:20" x14ac:dyDescent="0.25">
      <c r="T4549" s="1"/>
    </row>
    <row r="4550" spans="20:20" x14ac:dyDescent="0.25">
      <c r="T4550" s="1"/>
    </row>
    <row r="4551" spans="20:20" x14ac:dyDescent="0.25">
      <c r="T4551" s="1"/>
    </row>
    <row r="4552" spans="20:20" x14ac:dyDescent="0.25">
      <c r="T4552" s="1"/>
    </row>
    <row r="4553" spans="20:20" x14ac:dyDescent="0.25">
      <c r="T4553" s="1"/>
    </row>
    <row r="4554" spans="20:20" x14ac:dyDescent="0.25">
      <c r="T4554" s="1"/>
    </row>
    <row r="4555" spans="20:20" x14ac:dyDescent="0.25">
      <c r="T4555" s="1"/>
    </row>
    <row r="4556" spans="20:20" x14ac:dyDescent="0.25">
      <c r="T4556" s="1"/>
    </row>
    <row r="4557" spans="20:20" x14ac:dyDescent="0.25">
      <c r="T4557" s="1"/>
    </row>
    <row r="4558" spans="20:20" x14ac:dyDescent="0.25">
      <c r="T4558" s="1"/>
    </row>
    <row r="4559" spans="20:20" x14ac:dyDescent="0.25">
      <c r="T4559" s="1"/>
    </row>
    <row r="4560" spans="20:20" x14ac:dyDescent="0.25">
      <c r="T4560" s="1"/>
    </row>
    <row r="4561" spans="20:20" x14ac:dyDescent="0.25">
      <c r="T4561" s="1"/>
    </row>
    <row r="4562" spans="20:20" x14ac:dyDescent="0.25">
      <c r="T4562" s="1"/>
    </row>
    <row r="4563" spans="20:20" x14ac:dyDescent="0.25">
      <c r="T4563" s="1"/>
    </row>
    <row r="4564" spans="20:20" x14ac:dyDescent="0.25">
      <c r="T4564" s="1"/>
    </row>
    <row r="4565" spans="20:20" x14ac:dyDescent="0.25">
      <c r="T4565" s="1"/>
    </row>
    <row r="4566" spans="20:20" x14ac:dyDescent="0.25">
      <c r="T4566" s="1"/>
    </row>
    <row r="4567" spans="20:20" x14ac:dyDescent="0.25">
      <c r="T4567" s="1"/>
    </row>
    <row r="4568" spans="20:20" x14ac:dyDescent="0.25">
      <c r="T4568" s="1"/>
    </row>
    <row r="4569" spans="20:20" x14ac:dyDescent="0.25">
      <c r="T4569" s="1"/>
    </row>
    <row r="4570" spans="20:20" x14ac:dyDescent="0.25">
      <c r="T4570" s="1"/>
    </row>
    <row r="4571" spans="20:20" x14ac:dyDescent="0.25">
      <c r="T4571" s="1"/>
    </row>
    <row r="4572" spans="20:20" x14ac:dyDescent="0.25">
      <c r="T4572" s="1"/>
    </row>
    <row r="4573" spans="20:20" x14ac:dyDescent="0.25">
      <c r="T4573" s="1"/>
    </row>
    <row r="4574" spans="20:20" x14ac:dyDescent="0.25">
      <c r="T4574" s="1"/>
    </row>
    <row r="4575" spans="20:20" x14ac:dyDescent="0.25">
      <c r="T4575" s="1"/>
    </row>
    <row r="4576" spans="20:20" x14ac:dyDescent="0.25">
      <c r="T4576" s="1"/>
    </row>
    <row r="4577" spans="20:20" x14ac:dyDescent="0.25">
      <c r="T4577" s="1"/>
    </row>
    <row r="4578" spans="20:20" x14ac:dyDescent="0.25">
      <c r="T4578" s="1"/>
    </row>
    <row r="4579" spans="20:20" x14ac:dyDescent="0.25">
      <c r="T4579" s="1"/>
    </row>
    <row r="4580" spans="20:20" x14ac:dyDescent="0.25">
      <c r="T4580" s="1"/>
    </row>
    <row r="4581" spans="20:20" x14ac:dyDescent="0.25">
      <c r="T4581" s="1"/>
    </row>
    <row r="4582" spans="20:20" x14ac:dyDescent="0.25">
      <c r="T4582" s="1"/>
    </row>
    <row r="4583" spans="20:20" x14ac:dyDescent="0.25">
      <c r="T4583" s="1"/>
    </row>
    <row r="4584" spans="20:20" x14ac:dyDescent="0.25">
      <c r="T4584" s="1"/>
    </row>
    <row r="4585" spans="20:20" x14ac:dyDescent="0.25">
      <c r="T4585" s="1"/>
    </row>
    <row r="4586" spans="20:20" x14ac:dyDescent="0.25">
      <c r="T4586" s="1"/>
    </row>
    <row r="4587" spans="20:20" x14ac:dyDescent="0.25">
      <c r="T4587" s="1"/>
    </row>
    <row r="4588" spans="20:20" x14ac:dyDescent="0.25">
      <c r="T4588" s="1"/>
    </row>
    <row r="4589" spans="20:20" x14ac:dyDescent="0.25">
      <c r="T4589" s="1"/>
    </row>
    <row r="4590" spans="20:20" x14ac:dyDescent="0.25">
      <c r="T4590" s="1"/>
    </row>
    <row r="4591" spans="20:20" x14ac:dyDescent="0.25">
      <c r="T4591" s="1"/>
    </row>
    <row r="4592" spans="20:20" x14ac:dyDescent="0.25">
      <c r="T4592" s="1"/>
    </row>
    <row r="4593" spans="20:20" x14ac:dyDescent="0.25">
      <c r="T4593" s="1"/>
    </row>
    <row r="4594" spans="20:20" x14ac:dyDescent="0.25">
      <c r="T4594" s="1"/>
    </row>
    <row r="4595" spans="20:20" x14ac:dyDescent="0.25">
      <c r="T4595" s="1"/>
    </row>
    <row r="4596" spans="20:20" x14ac:dyDescent="0.25">
      <c r="T4596" s="1"/>
    </row>
    <row r="4597" spans="20:20" x14ac:dyDescent="0.25">
      <c r="T4597" s="1"/>
    </row>
    <row r="4598" spans="20:20" x14ac:dyDescent="0.25">
      <c r="T4598" s="1"/>
    </row>
    <row r="4599" spans="20:20" x14ac:dyDescent="0.25">
      <c r="T4599" s="1"/>
    </row>
    <row r="4600" spans="20:20" x14ac:dyDescent="0.25">
      <c r="T4600" s="1"/>
    </row>
    <row r="4601" spans="20:20" x14ac:dyDescent="0.25">
      <c r="T4601" s="1"/>
    </row>
    <row r="4602" spans="20:20" x14ac:dyDescent="0.25">
      <c r="T4602" s="1"/>
    </row>
    <row r="4603" spans="20:20" x14ac:dyDescent="0.25">
      <c r="T4603" s="1"/>
    </row>
    <row r="4604" spans="20:20" x14ac:dyDescent="0.25">
      <c r="T4604" s="1"/>
    </row>
    <row r="4605" spans="20:20" x14ac:dyDescent="0.25">
      <c r="T4605" s="1"/>
    </row>
    <row r="4606" spans="20:20" x14ac:dyDescent="0.25">
      <c r="T4606" s="1"/>
    </row>
    <row r="4607" spans="20:20" x14ac:dyDescent="0.25">
      <c r="T4607" s="1"/>
    </row>
    <row r="4608" spans="20:20" x14ac:dyDescent="0.25">
      <c r="T4608" s="1"/>
    </row>
    <row r="4609" spans="20:20" x14ac:dyDescent="0.25">
      <c r="T4609" s="1"/>
    </row>
    <row r="4610" spans="20:20" x14ac:dyDescent="0.25">
      <c r="T4610" s="1"/>
    </row>
    <row r="4611" spans="20:20" x14ac:dyDescent="0.25">
      <c r="T4611" s="1"/>
    </row>
    <row r="4612" spans="20:20" x14ac:dyDescent="0.25">
      <c r="T4612" s="1"/>
    </row>
    <row r="4613" spans="20:20" x14ac:dyDescent="0.25">
      <c r="T4613" s="1"/>
    </row>
    <row r="4614" spans="20:20" x14ac:dyDescent="0.25">
      <c r="T4614" s="1"/>
    </row>
    <row r="4615" spans="20:20" x14ac:dyDescent="0.25">
      <c r="T4615" s="1"/>
    </row>
    <row r="4616" spans="20:20" x14ac:dyDescent="0.25">
      <c r="T4616" s="1"/>
    </row>
    <row r="4617" spans="20:20" x14ac:dyDescent="0.25">
      <c r="T4617" s="1"/>
    </row>
    <row r="4618" spans="20:20" x14ac:dyDescent="0.25">
      <c r="T4618" s="1"/>
    </row>
    <row r="4619" spans="20:20" x14ac:dyDescent="0.25">
      <c r="T4619" s="1"/>
    </row>
    <row r="4620" spans="20:20" x14ac:dyDescent="0.25">
      <c r="T4620" s="1"/>
    </row>
    <row r="4621" spans="20:20" x14ac:dyDescent="0.25">
      <c r="T4621" s="1"/>
    </row>
    <row r="4622" spans="20:20" x14ac:dyDescent="0.25">
      <c r="T4622" s="1"/>
    </row>
    <row r="4623" spans="20:20" x14ac:dyDescent="0.25">
      <c r="T4623" s="1"/>
    </row>
    <row r="4624" spans="20:20" x14ac:dyDescent="0.25">
      <c r="T4624" s="1"/>
    </row>
    <row r="4625" spans="20:20" x14ac:dyDescent="0.25">
      <c r="T4625" s="1"/>
    </row>
    <row r="4626" spans="20:20" x14ac:dyDescent="0.25">
      <c r="T4626" s="1"/>
    </row>
    <row r="4627" spans="20:20" x14ac:dyDescent="0.25">
      <c r="T4627" s="1"/>
    </row>
    <row r="4628" spans="20:20" x14ac:dyDescent="0.25">
      <c r="T4628" s="1"/>
    </row>
    <row r="4629" spans="20:20" x14ac:dyDescent="0.25">
      <c r="T4629" s="1"/>
    </row>
    <row r="4630" spans="20:20" x14ac:dyDescent="0.25">
      <c r="T4630" s="1"/>
    </row>
    <row r="4631" spans="20:20" x14ac:dyDescent="0.25">
      <c r="T4631" s="1"/>
    </row>
    <row r="4632" spans="20:20" x14ac:dyDescent="0.25">
      <c r="T4632" s="1"/>
    </row>
    <row r="4633" spans="20:20" x14ac:dyDescent="0.25">
      <c r="T4633" s="1"/>
    </row>
    <row r="4634" spans="20:20" x14ac:dyDescent="0.25">
      <c r="T4634" s="1"/>
    </row>
    <row r="4635" spans="20:20" x14ac:dyDescent="0.25">
      <c r="T4635" s="1"/>
    </row>
    <row r="4636" spans="20:20" x14ac:dyDescent="0.25">
      <c r="T4636" s="1"/>
    </row>
    <row r="4637" spans="20:20" x14ac:dyDescent="0.25">
      <c r="T4637" s="1"/>
    </row>
    <row r="4638" spans="20:20" x14ac:dyDescent="0.25">
      <c r="T4638" s="1"/>
    </row>
    <row r="4639" spans="20:20" x14ac:dyDescent="0.25">
      <c r="T4639" s="1"/>
    </row>
    <row r="4640" spans="20:20" x14ac:dyDescent="0.25">
      <c r="T4640" s="1"/>
    </row>
    <row r="4641" spans="20:20" x14ac:dyDescent="0.25">
      <c r="T4641" s="1"/>
    </row>
    <row r="4642" spans="20:20" x14ac:dyDescent="0.25">
      <c r="T4642" s="1"/>
    </row>
    <row r="4643" spans="20:20" x14ac:dyDescent="0.25">
      <c r="T4643" s="1"/>
    </row>
    <row r="4644" spans="20:20" x14ac:dyDescent="0.25">
      <c r="T4644" s="1"/>
    </row>
    <row r="4645" spans="20:20" x14ac:dyDescent="0.25">
      <c r="T4645" s="1"/>
    </row>
    <row r="4646" spans="20:20" x14ac:dyDescent="0.25">
      <c r="T4646" s="1"/>
    </row>
    <row r="4647" spans="20:20" x14ac:dyDescent="0.25">
      <c r="T4647" s="1"/>
    </row>
    <row r="4648" spans="20:20" x14ac:dyDescent="0.25">
      <c r="T4648" s="1"/>
    </row>
    <row r="4649" spans="20:20" x14ac:dyDescent="0.25">
      <c r="T4649" s="1"/>
    </row>
    <row r="4650" spans="20:20" x14ac:dyDescent="0.25">
      <c r="T4650" s="1"/>
    </row>
    <row r="4651" spans="20:20" x14ac:dyDescent="0.25">
      <c r="T4651" s="1"/>
    </row>
    <row r="4652" spans="20:20" x14ac:dyDescent="0.25">
      <c r="T4652" s="1"/>
    </row>
    <row r="4653" spans="20:20" x14ac:dyDescent="0.25">
      <c r="T4653" s="1"/>
    </row>
    <row r="4654" spans="20:20" x14ac:dyDescent="0.25">
      <c r="T4654" s="1"/>
    </row>
    <row r="4655" spans="20:20" x14ac:dyDescent="0.25">
      <c r="T4655" s="1"/>
    </row>
    <row r="4656" spans="20:20" x14ac:dyDescent="0.25">
      <c r="T4656" s="1"/>
    </row>
    <row r="4657" spans="20:20" x14ac:dyDescent="0.25">
      <c r="T4657" s="1"/>
    </row>
    <row r="4658" spans="20:20" x14ac:dyDescent="0.25">
      <c r="T4658" s="1"/>
    </row>
    <row r="4659" spans="20:20" x14ac:dyDescent="0.25">
      <c r="T4659" s="1"/>
    </row>
    <row r="4660" spans="20:20" x14ac:dyDescent="0.25">
      <c r="T4660" s="1"/>
    </row>
    <row r="4661" spans="20:20" x14ac:dyDescent="0.25">
      <c r="T4661" s="1"/>
    </row>
    <row r="4662" spans="20:20" x14ac:dyDescent="0.25">
      <c r="T4662" s="1"/>
    </row>
    <row r="4663" spans="20:20" x14ac:dyDescent="0.25">
      <c r="T4663" s="1"/>
    </row>
    <row r="4664" spans="20:20" x14ac:dyDescent="0.25">
      <c r="T4664" s="1"/>
    </row>
    <row r="4665" spans="20:20" x14ac:dyDescent="0.25">
      <c r="T4665" s="1"/>
    </row>
    <row r="4666" spans="20:20" x14ac:dyDescent="0.25">
      <c r="T4666" s="1"/>
    </row>
    <row r="4667" spans="20:20" x14ac:dyDescent="0.25">
      <c r="T4667" s="1"/>
    </row>
    <row r="4668" spans="20:20" x14ac:dyDescent="0.25">
      <c r="T4668" s="1"/>
    </row>
    <row r="4669" spans="20:20" x14ac:dyDescent="0.25">
      <c r="T4669" s="1"/>
    </row>
    <row r="4670" spans="20:20" x14ac:dyDescent="0.25">
      <c r="T4670" s="1"/>
    </row>
    <row r="4671" spans="20:20" x14ac:dyDescent="0.25">
      <c r="T4671" s="1"/>
    </row>
    <row r="4672" spans="20:20" x14ac:dyDescent="0.25">
      <c r="T4672" s="1"/>
    </row>
    <row r="4673" spans="20:20" x14ac:dyDescent="0.25">
      <c r="T4673" s="1"/>
    </row>
    <row r="4674" spans="20:20" x14ac:dyDescent="0.25">
      <c r="T4674" s="1"/>
    </row>
    <row r="4675" spans="20:20" x14ac:dyDescent="0.25">
      <c r="T4675" s="1"/>
    </row>
    <row r="4676" spans="20:20" x14ac:dyDescent="0.25">
      <c r="T4676" s="1"/>
    </row>
    <row r="4677" spans="20:20" x14ac:dyDescent="0.25">
      <c r="T4677" s="1"/>
    </row>
    <row r="4678" spans="20:20" x14ac:dyDescent="0.25">
      <c r="T4678" s="1"/>
    </row>
    <row r="4679" spans="20:20" x14ac:dyDescent="0.25">
      <c r="T4679" s="1"/>
    </row>
    <row r="4680" spans="20:20" x14ac:dyDescent="0.25">
      <c r="T4680" s="1"/>
    </row>
    <row r="4681" spans="20:20" x14ac:dyDescent="0.25">
      <c r="T4681" s="1"/>
    </row>
    <row r="4682" spans="20:20" x14ac:dyDescent="0.25">
      <c r="T4682" s="1"/>
    </row>
    <row r="4683" spans="20:20" x14ac:dyDescent="0.25">
      <c r="T4683" s="1"/>
    </row>
    <row r="4684" spans="20:20" x14ac:dyDescent="0.25">
      <c r="T4684" s="1"/>
    </row>
    <row r="4685" spans="20:20" x14ac:dyDescent="0.25">
      <c r="T4685" s="1"/>
    </row>
    <row r="4686" spans="20:20" x14ac:dyDescent="0.25">
      <c r="T4686" s="1"/>
    </row>
    <row r="4687" spans="20:20" x14ac:dyDescent="0.25">
      <c r="T4687" s="1"/>
    </row>
    <row r="4688" spans="20:20" x14ac:dyDescent="0.25">
      <c r="T4688" s="1"/>
    </row>
    <row r="4689" spans="20:20" x14ac:dyDescent="0.25">
      <c r="T4689" s="1"/>
    </row>
    <row r="4690" spans="20:20" x14ac:dyDescent="0.25">
      <c r="T4690" s="1"/>
    </row>
    <row r="4691" spans="20:20" x14ac:dyDescent="0.25">
      <c r="T4691" s="1"/>
    </row>
    <row r="4692" spans="20:20" x14ac:dyDescent="0.25">
      <c r="T4692" s="1"/>
    </row>
    <row r="4693" spans="20:20" x14ac:dyDescent="0.25">
      <c r="T4693" s="1"/>
    </row>
    <row r="4694" spans="20:20" x14ac:dyDescent="0.25">
      <c r="T4694" s="1"/>
    </row>
    <row r="4695" spans="20:20" x14ac:dyDescent="0.25">
      <c r="T4695" s="1"/>
    </row>
    <row r="4696" spans="20:20" x14ac:dyDescent="0.25">
      <c r="T4696" s="1"/>
    </row>
    <row r="4697" spans="20:20" x14ac:dyDescent="0.25">
      <c r="T4697" s="1"/>
    </row>
    <row r="4698" spans="20:20" x14ac:dyDescent="0.25">
      <c r="T4698" s="1"/>
    </row>
    <row r="4699" spans="20:20" x14ac:dyDescent="0.25">
      <c r="T4699" s="1"/>
    </row>
    <row r="4700" spans="20:20" x14ac:dyDescent="0.25">
      <c r="T4700" s="1"/>
    </row>
    <row r="4701" spans="20:20" x14ac:dyDescent="0.25">
      <c r="T4701" s="1"/>
    </row>
    <row r="4702" spans="20:20" x14ac:dyDescent="0.25">
      <c r="T4702" s="1"/>
    </row>
    <row r="4703" spans="20:20" x14ac:dyDescent="0.25">
      <c r="T4703" s="1"/>
    </row>
    <row r="4704" spans="20:20" x14ac:dyDescent="0.25">
      <c r="T4704" s="1"/>
    </row>
    <row r="4705" spans="20:20" x14ac:dyDescent="0.25">
      <c r="T4705" s="1"/>
    </row>
    <row r="4706" spans="20:20" x14ac:dyDescent="0.25">
      <c r="T4706" s="1"/>
    </row>
    <row r="4707" spans="20:20" x14ac:dyDescent="0.25">
      <c r="T4707" s="1"/>
    </row>
    <row r="4708" spans="20:20" x14ac:dyDescent="0.25">
      <c r="T4708" s="1"/>
    </row>
    <row r="4709" spans="20:20" x14ac:dyDescent="0.25">
      <c r="T4709" s="1"/>
    </row>
    <row r="4710" spans="20:20" x14ac:dyDescent="0.25">
      <c r="T4710" s="1"/>
    </row>
    <row r="4711" spans="20:20" x14ac:dyDescent="0.25">
      <c r="T4711" s="1"/>
    </row>
    <row r="4712" spans="20:20" x14ac:dyDescent="0.25">
      <c r="T4712" s="1"/>
    </row>
    <row r="4713" spans="20:20" x14ac:dyDescent="0.25">
      <c r="T4713" s="1"/>
    </row>
    <row r="4714" spans="20:20" x14ac:dyDescent="0.25">
      <c r="T4714" s="1"/>
    </row>
    <row r="4715" spans="20:20" x14ac:dyDescent="0.25">
      <c r="T4715" s="1"/>
    </row>
    <row r="4716" spans="20:20" x14ac:dyDescent="0.25">
      <c r="T4716" s="1"/>
    </row>
    <row r="4717" spans="20:20" x14ac:dyDescent="0.25">
      <c r="T4717" s="1"/>
    </row>
    <row r="4718" spans="20:20" x14ac:dyDescent="0.25">
      <c r="T4718" s="1"/>
    </row>
    <row r="4719" spans="20:20" x14ac:dyDescent="0.25">
      <c r="T4719" s="1"/>
    </row>
    <row r="4720" spans="20:20" x14ac:dyDescent="0.25">
      <c r="T4720" s="1"/>
    </row>
    <row r="4721" spans="20:20" x14ac:dyDescent="0.25">
      <c r="T4721" s="1"/>
    </row>
    <row r="4722" spans="20:20" x14ac:dyDescent="0.25">
      <c r="T4722" s="1"/>
    </row>
    <row r="4723" spans="20:20" x14ac:dyDescent="0.25">
      <c r="T4723" s="1"/>
    </row>
    <row r="4724" spans="20:20" x14ac:dyDescent="0.25">
      <c r="T4724" s="1"/>
    </row>
    <row r="4725" spans="20:20" x14ac:dyDescent="0.25">
      <c r="T4725" s="1"/>
    </row>
    <row r="4726" spans="20:20" x14ac:dyDescent="0.25">
      <c r="T4726" s="1"/>
    </row>
    <row r="4727" spans="20:20" x14ac:dyDescent="0.25">
      <c r="T4727" s="1"/>
    </row>
    <row r="4728" spans="20:20" x14ac:dyDescent="0.25">
      <c r="T4728" s="1"/>
    </row>
    <row r="4729" spans="20:20" x14ac:dyDescent="0.25">
      <c r="T4729" s="1"/>
    </row>
    <row r="4730" spans="20:20" x14ac:dyDescent="0.25">
      <c r="T4730" s="1"/>
    </row>
    <row r="4731" spans="20:20" x14ac:dyDescent="0.25">
      <c r="T4731" s="1"/>
    </row>
    <row r="4732" spans="20:20" x14ac:dyDescent="0.25">
      <c r="T4732" s="1"/>
    </row>
    <row r="4733" spans="20:20" x14ac:dyDescent="0.25">
      <c r="T4733" s="1"/>
    </row>
    <row r="4734" spans="20:20" x14ac:dyDescent="0.25">
      <c r="T4734" s="1"/>
    </row>
    <row r="4735" spans="20:20" x14ac:dyDescent="0.25">
      <c r="T4735" s="1"/>
    </row>
    <row r="4736" spans="20:20" x14ac:dyDescent="0.25">
      <c r="T4736" s="1"/>
    </row>
    <row r="4737" spans="20:20" x14ac:dyDescent="0.25">
      <c r="T4737" s="1"/>
    </row>
    <row r="4738" spans="20:20" x14ac:dyDescent="0.25">
      <c r="T4738" s="1"/>
    </row>
    <row r="4739" spans="20:20" x14ac:dyDescent="0.25">
      <c r="T4739" s="1"/>
    </row>
    <row r="4740" spans="20:20" x14ac:dyDescent="0.25">
      <c r="T4740" s="1"/>
    </row>
    <row r="4741" spans="20:20" x14ac:dyDescent="0.25">
      <c r="T4741" s="1"/>
    </row>
    <row r="4742" spans="20:20" x14ac:dyDescent="0.25">
      <c r="T4742" s="1"/>
    </row>
    <row r="4743" spans="20:20" x14ac:dyDescent="0.25">
      <c r="T4743" s="1"/>
    </row>
    <row r="4744" spans="20:20" x14ac:dyDescent="0.25">
      <c r="T4744" s="1"/>
    </row>
    <row r="4745" spans="20:20" x14ac:dyDescent="0.25">
      <c r="T4745" s="1"/>
    </row>
    <row r="4746" spans="20:20" x14ac:dyDescent="0.25">
      <c r="T4746" s="1"/>
    </row>
    <row r="4747" spans="20:20" x14ac:dyDescent="0.25">
      <c r="T4747" s="1"/>
    </row>
    <row r="4748" spans="20:20" x14ac:dyDescent="0.25">
      <c r="T4748" s="1"/>
    </row>
    <row r="4749" spans="20:20" x14ac:dyDescent="0.25">
      <c r="T4749" s="1"/>
    </row>
    <row r="4750" spans="20:20" x14ac:dyDescent="0.25">
      <c r="T4750" s="1"/>
    </row>
    <row r="4751" spans="20:20" x14ac:dyDescent="0.25">
      <c r="T4751" s="1"/>
    </row>
    <row r="4752" spans="20:20" x14ac:dyDescent="0.25">
      <c r="T4752" s="1"/>
    </row>
    <row r="4753" spans="20:20" x14ac:dyDescent="0.25">
      <c r="T4753" s="1"/>
    </row>
    <row r="4754" spans="20:20" x14ac:dyDescent="0.25">
      <c r="T4754" s="1"/>
    </row>
    <row r="4755" spans="20:20" x14ac:dyDescent="0.25">
      <c r="T4755" s="1"/>
    </row>
    <row r="4756" spans="20:20" x14ac:dyDescent="0.25">
      <c r="T4756" s="1"/>
    </row>
    <row r="4757" spans="20:20" x14ac:dyDescent="0.25">
      <c r="T4757" s="1"/>
    </row>
    <row r="4758" spans="20:20" x14ac:dyDescent="0.25">
      <c r="T4758" s="1"/>
    </row>
    <row r="4759" spans="20:20" x14ac:dyDescent="0.25">
      <c r="T4759" s="1"/>
    </row>
    <row r="4760" spans="20:20" x14ac:dyDescent="0.25">
      <c r="T4760" s="1"/>
    </row>
    <row r="4761" spans="20:20" x14ac:dyDescent="0.25">
      <c r="T4761" s="1"/>
    </row>
    <row r="4762" spans="20:20" x14ac:dyDescent="0.25">
      <c r="T4762" s="1"/>
    </row>
    <row r="4763" spans="20:20" x14ac:dyDescent="0.25">
      <c r="T4763" s="1"/>
    </row>
    <row r="4764" spans="20:20" x14ac:dyDescent="0.25">
      <c r="T4764" s="1"/>
    </row>
    <row r="4765" spans="20:20" x14ac:dyDescent="0.25">
      <c r="T4765" s="1"/>
    </row>
    <row r="4766" spans="20:20" x14ac:dyDescent="0.25">
      <c r="T4766" s="1"/>
    </row>
    <row r="4767" spans="20:20" x14ac:dyDescent="0.25">
      <c r="T4767" s="1"/>
    </row>
    <row r="4768" spans="20:20" x14ac:dyDescent="0.25">
      <c r="T4768" s="1"/>
    </row>
    <row r="4769" spans="20:20" x14ac:dyDescent="0.25">
      <c r="T4769" s="1"/>
    </row>
    <row r="4770" spans="20:20" x14ac:dyDescent="0.25">
      <c r="T4770" s="1"/>
    </row>
    <row r="4771" spans="20:20" x14ac:dyDescent="0.25">
      <c r="T4771" s="1"/>
    </row>
    <row r="4772" spans="20:20" x14ac:dyDescent="0.25">
      <c r="T4772" s="1"/>
    </row>
    <row r="4773" spans="20:20" x14ac:dyDescent="0.25">
      <c r="T4773" s="1"/>
    </row>
    <row r="4774" spans="20:20" x14ac:dyDescent="0.25">
      <c r="T4774" s="1"/>
    </row>
    <row r="4775" spans="20:20" x14ac:dyDescent="0.25">
      <c r="T4775" s="1"/>
    </row>
    <row r="4776" spans="20:20" x14ac:dyDescent="0.25">
      <c r="T4776" s="1"/>
    </row>
    <row r="4777" spans="20:20" x14ac:dyDescent="0.25">
      <c r="T4777" s="1"/>
    </row>
    <row r="4778" spans="20:20" x14ac:dyDescent="0.25">
      <c r="T4778" s="1"/>
    </row>
    <row r="4779" spans="20:20" x14ac:dyDescent="0.25">
      <c r="T4779" s="1"/>
    </row>
    <row r="4780" spans="20:20" x14ac:dyDescent="0.25">
      <c r="T478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5199-DBA8-487B-AF43-CF6B918471DC}">
  <sheetPr codeName="Sheet8"/>
  <dimension ref="A1:Q18"/>
  <sheetViews>
    <sheetView workbookViewId="0">
      <selection activeCell="Q16" sqref="Q16"/>
    </sheetView>
  </sheetViews>
  <sheetFormatPr defaultRowHeight="15" x14ac:dyDescent="0.25"/>
  <cols>
    <col min="1" max="1" width="14.85546875" bestFit="1" customWidth="1"/>
    <col min="2" max="2" width="16.85546875" bestFit="1" customWidth="1"/>
    <col min="14" max="14" width="21.85546875" bestFit="1" customWidth="1"/>
    <col min="15" max="15" width="21.5703125" bestFit="1" customWidth="1"/>
  </cols>
  <sheetData>
    <row r="1" spans="1:17" x14ac:dyDescent="0.25">
      <c r="N1" t="s">
        <v>51</v>
      </c>
      <c r="O1" s="7">
        <v>0</v>
      </c>
      <c r="P1" s="7">
        <v>0.2</v>
      </c>
      <c r="Q1" s="7">
        <v>0.5</v>
      </c>
    </row>
    <row r="2" spans="1:17" x14ac:dyDescent="0.25">
      <c r="A2" t="s">
        <v>40</v>
      </c>
      <c r="B2" s="8">
        <v>3.3E-3</v>
      </c>
      <c r="N2" t="s">
        <v>14</v>
      </c>
      <c r="O2" s="7">
        <v>0.9</v>
      </c>
      <c r="P2" s="7">
        <f>1-P1</f>
        <v>0.8</v>
      </c>
      <c r="Q2" s="7">
        <f>1-Q1</f>
        <v>0.5</v>
      </c>
    </row>
    <row r="3" spans="1:17" x14ac:dyDescent="0.25">
      <c r="A3" t="s">
        <v>41</v>
      </c>
      <c r="B3" s="8">
        <v>4.3E-3</v>
      </c>
      <c r="O3" s="4" t="s">
        <v>42</v>
      </c>
      <c r="P3" s="4" t="s">
        <v>44</v>
      </c>
      <c r="Q3" s="4" t="s">
        <v>43</v>
      </c>
    </row>
    <row r="4" spans="1:17" x14ac:dyDescent="0.25">
      <c r="N4" t="str">
        <f>asset_config!A2</f>
        <v>EUR Cash</v>
      </c>
      <c r="O4" s="13">
        <v>0.1</v>
      </c>
      <c r="P4">
        <v>0</v>
      </c>
      <c r="Q4">
        <v>0</v>
      </c>
    </row>
    <row r="5" spans="1:17" x14ac:dyDescent="0.25">
      <c r="C5" t="s">
        <v>49</v>
      </c>
      <c r="D5" t="s">
        <v>50</v>
      </c>
      <c r="H5" t="s">
        <v>49</v>
      </c>
      <c r="I5" t="s">
        <v>50</v>
      </c>
      <c r="N5" t="str">
        <f>asset_config!A4</f>
        <v>Barclays Global TreasuryH</v>
      </c>
      <c r="O5" s="12">
        <f>$D$10*O$2</f>
        <v>2.2261145752028428E-3</v>
      </c>
      <c r="P5" s="12">
        <f t="shared" ref="P5:Q5" si="0">$D$10*P$2</f>
        <v>1.9787685112914156E-3</v>
      </c>
      <c r="Q5" s="12">
        <f t="shared" si="0"/>
        <v>1.2367303195571348E-3</v>
      </c>
    </row>
    <row r="6" spans="1:17" x14ac:dyDescent="0.25">
      <c r="A6" t="s">
        <v>45</v>
      </c>
      <c r="B6" s="11">
        <f>'[2]Global AGG'!$D$10+'[2]Global AGG'!$D$9</f>
        <v>50383680065.309982</v>
      </c>
      <c r="C6" s="8">
        <f>B6/SUM($B$6:$B$9)</f>
        <v>0.74953352700432407</v>
      </c>
      <c r="D6" s="8">
        <f>C6-D10</f>
        <v>0.74706006636520983</v>
      </c>
      <c r="G6" t="s">
        <v>41</v>
      </c>
      <c r="H6" s="10">
        <f>1-H7</f>
        <v>0.89719878770655603</v>
      </c>
      <c r="I6" s="10">
        <f>H6-I8</f>
        <v>0.89334083291941779</v>
      </c>
      <c r="N6" t="str">
        <f>asset_config!A5</f>
        <v>World EquityU</v>
      </c>
      <c r="O6" s="12">
        <f>$D$6*O$2</f>
        <v>0.67235405972868889</v>
      </c>
      <c r="P6" s="12">
        <f t="shared" ref="P6:Q6" si="1">$D$6*P$2</f>
        <v>0.59764805309216784</v>
      </c>
      <c r="Q6" s="12">
        <f t="shared" si="1"/>
        <v>0.37353003318260491</v>
      </c>
    </row>
    <row r="7" spans="1:17" x14ac:dyDescent="0.25">
      <c r="A7" t="s">
        <v>20</v>
      </c>
      <c r="B7" s="11">
        <f>'[2]Global AGG'!$D$15</f>
        <v>13318202929.110094</v>
      </c>
      <c r="C7" s="8">
        <f t="shared" ref="C7:C9" si="2">B7/SUM($B$6:$B$9)</f>
        <v>0.19812843368875485</v>
      </c>
      <c r="D7" s="8">
        <f>C7</f>
        <v>0.19812843368875485</v>
      </c>
      <c r="G7" t="s">
        <v>38</v>
      </c>
      <c r="H7" s="10">
        <f>[3]instrument!$S$125</f>
        <v>0.10280121229344394</v>
      </c>
      <c r="I7" s="10">
        <f>H7</f>
        <v>0.10280121229344394</v>
      </c>
      <c r="N7" t="str">
        <f>asset_config!A6</f>
        <v>Global Private DebtH</v>
      </c>
      <c r="O7" s="12">
        <f>$D$7*O$2</f>
        <v>0.17831559031987937</v>
      </c>
      <c r="P7" s="12">
        <f t="shared" ref="P7:Q7" si="3">$D$7*P$2</f>
        <v>0.15850274695100389</v>
      </c>
      <c r="Q7" s="12">
        <f t="shared" si="3"/>
        <v>9.9064216844377426E-2</v>
      </c>
    </row>
    <row r="8" spans="1:17" x14ac:dyDescent="0.25">
      <c r="A8" t="s">
        <v>21</v>
      </c>
      <c r="B8" s="11">
        <f>'[2]Global HY'!$O$8/1000</f>
        <v>2762505550.469996</v>
      </c>
      <c r="C8" s="8">
        <f t="shared" si="2"/>
        <v>4.1096452778534423E-2</v>
      </c>
      <c r="D8" s="8">
        <f t="shared" ref="D8:D9" si="4">C8</f>
        <v>4.1096452778534423E-2</v>
      </c>
      <c r="G8" t="s">
        <v>48</v>
      </c>
      <c r="H8" s="10"/>
      <c r="I8" s="10">
        <f>B3*H6</f>
        <v>3.8579547871381908E-3</v>
      </c>
      <c r="N8" t="str">
        <f>asset_config!A7</f>
        <v>EU Private CreditH</v>
      </c>
      <c r="O8" s="12">
        <f>$D$8*O$2</f>
        <v>3.6986807500680979E-2</v>
      </c>
      <c r="P8" s="12">
        <f t="shared" ref="P8:Q8" si="5">$D$8*P$2</f>
        <v>3.2877162222827543E-2</v>
      </c>
      <c r="Q8" s="12">
        <f t="shared" si="5"/>
        <v>2.0548226389267212E-2</v>
      </c>
    </row>
    <row r="9" spans="1:17" x14ac:dyDescent="0.25">
      <c r="A9" t="s">
        <v>39</v>
      </c>
      <c r="B9" s="11">
        <f>'[2]Global HY'!$O$9/1000</f>
        <v>755659992.07060003</v>
      </c>
      <c r="C9" s="8">
        <f t="shared" si="2"/>
        <v>1.1241586528386742E-2</v>
      </c>
      <c r="D9" s="8">
        <f t="shared" si="4"/>
        <v>1.1241586528386742E-2</v>
      </c>
      <c r="N9" t="e">
        <f>asset_config!#REF!</f>
        <v>#REF!</v>
      </c>
      <c r="O9" s="12">
        <f>$D$9*O$2</f>
        <v>1.0117427875548068E-2</v>
      </c>
      <c r="P9" s="12">
        <f t="shared" ref="P9:Q9" si="6">$D$9*P$2</f>
        <v>8.9932692227093942E-3</v>
      </c>
      <c r="Q9" s="12">
        <f t="shared" si="6"/>
        <v>5.620793264193371E-3</v>
      </c>
    </row>
    <row r="10" spans="1:17" x14ac:dyDescent="0.25">
      <c r="A10" t="s">
        <v>46</v>
      </c>
      <c r="C10" s="8"/>
      <c r="D10" s="8">
        <f>B2*C6</f>
        <v>2.4734606391142696E-3</v>
      </c>
      <c r="N10" t="e">
        <f>asset_config!#REF!</f>
        <v>#REF!</v>
      </c>
      <c r="O10" s="12">
        <v>0</v>
      </c>
      <c r="P10" s="12">
        <v>0</v>
      </c>
      <c r="Q10" s="12">
        <v>0</v>
      </c>
    </row>
    <row r="11" spans="1:17" x14ac:dyDescent="0.25">
      <c r="N11" t="e">
        <f>asset_config!#REF!</f>
        <v>#REF!</v>
      </c>
      <c r="O11" s="12">
        <f>O$1*$I$6</f>
        <v>0</v>
      </c>
      <c r="P11" s="12">
        <f t="shared" ref="P11:Q11" si="7">P$1*$I$6</f>
        <v>0.17866816658388357</v>
      </c>
      <c r="Q11" s="12">
        <f t="shared" si="7"/>
        <v>0.4466704164597089</v>
      </c>
    </row>
    <row r="12" spans="1:17" x14ac:dyDescent="0.25">
      <c r="A12" t="s">
        <v>47</v>
      </c>
      <c r="C12">
        <f>SUM(C6:C10)</f>
        <v>1.0000000000000002</v>
      </c>
      <c r="D12">
        <f>SUM(D6:D10)</f>
        <v>1.0000000000000002</v>
      </c>
      <c r="H12">
        <f>SUM(H6:H10)</f>
        <v>1</v>
      </c>
      <c r="I12">
        <f>SUM(I6:I10)</f>
        <v>1</v>
      </c>
      <c r="N12" t="e">
        <f>asset_config!#REF!</f>
        <v>#REF!</v>
      </c>
      <c r="O12" s="12">
        <f>$I$7*O$1</f>
        <v>0</v>
      </c>
      <c r="P12" s="12">
        <f t="shared" ref="P12:Q12" si="8">$I$7*P$1</f>
        <v>2.0560242458688788E-2</v>
      </c>
      <c r="Q12" s="12">
        <f t="shared" si="8"/>
        <v>5.1400606146721969E-2</v>
      </c>
    </row>
    <row r="13" spans="1:17" x14ac:dyDescent="0.25">
      <c r="N13" t="e">
        <f>asset_config!#REF!</f>
        <v>#REF!</v>
      </c>
      <c r="O13" s="12">
        <f>$I$8*O$1</f>
        <v>0</v>
      </c>
      <c r="P13" s="12">
        <f t="shared" ref="P13:Q13" si="9">$I$8*P$1</f>
        <v>7.7159095742763821E-4</v>
      </c>
      <c r="Q13" s="12">
        <f t="shared" si="9"/>
        <v>1.9289773935690954E-3</v>
      </c>
    </row>
    <row r="14" spans="1:17" x14ac:dyDescent="0.25">
      <c r="N14" t="e">
        <f>asset_config!#REF!</f>
        <v>#REF!</v>
      </c>
      <c r="O14" s="12">
        <v>0</v>
      </c>
      <c r="P14" s="12">
        <v>0</v>
      </c>
      <c r="Q14" s="12">
        <v>0</v>
      </c>
    </row>
    <row r="15" spans="1:17" x14ac:dyDescent="0.25">
      <c r="N15" t="e">
        <f>asset_config!#REF!</f>
        <v>#REF!</v>
      </c>
      <c r="O15" s="12">
        <v>0</v>
      </c>
      <c r="P15" s="12">
        <v>0</v>
      </c>
      <c r="Q15" s="12">
        <v>0</v>
      </c>
    </row>
    <row r="16" spans="1:17" x14ac:dyDescent="0.25">
      <c r="N16" t="e">
        <f>asset_config!#REF!</f>
        <v>#REF!</v>
      </c>
      <c r="O16" s="12">
        <v>0</v>
      </c>
      <c r="P16" s="12">
        <v>0</v>
      </c>
      <c r="Q16" s="12">
        <v>0</v>
      </c>
    </row>
    <row r="17" spans="14:17" x14ac:dyDescent="0.25">
      <c r="N17" t="e">
        <f>asset_config!#REF!</f>
        <v>#REF!</v>
      </c>
      <c r="O17" s="12">
        <v>0</v>
      </c>
      <c r="P17" s="12">
        <v>0</v>
      </c>
      <c r="Q17" s="12">
        <v>0</v>
      </c>
    </row>
    <row r="18" spans="14:17" x14ac:dyDescent="0.25">
      <c r="N18" t="e">
        <f>asset_config!#REF!</f>
        <v>#REF!</v>
      </c>
      <c r="O18" s="12">
        <v>0</v>
      </c>
      <c r="P18" s="12">
        <v>0</v>
      </c>
      <c r="Q18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asset_config</vt:lpstr>
      <vt:lpstr>A</vt:lpstr>
      <vt:lpstr>B</vt:lpstr>
      <vt:lpstr>timeseries</vt:lpstr>
      <vt:lpstr>cov</vt:lpstr>
      <vt:lpstr>corr</vt:lpstr>
      <vt:lpstr>Sheet1</vt:lpstr>
      <vt:lpstr>SGD mkt cap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vuillemo</dc:creator>
  <cp:lastModifiedBy>Meloncelli Lorenzo (AMUNDI.ITA)</cp:lastModifiedBy>
  <dcterms:created xsi:type="dcterms:W3CDTF">2023-02-06T13:40:47Z</dcterms:created>
  <dcterms:modified xsi:type="dcterms:W3CDTF">2026-09-28T07:11:22Z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2023-02-06T13:40:48Z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eacb2f42-2d3d-469d-ad81-eabd34e7bcd2</vt:lpwstr>
  </property>
  <property fmtid="{D5CDD505-2E9C-101B-9397-08002B2CF9AE}" pid="8" name="MSIP_Label_6ac45191-74e4-40a9-a4c5-ab5c9391e33a_ContentBits">
    <vt:lpwstr>0</vt:lpwstr>
  </property>
  <property fmtid="{D5CDD505-2E9C-101B-9397-08002B2CF9AE}" pid="9" name="SpreadsheetBuilder_1">
    <vt:lpwstr>eyIwIjoiSGlzdG9yeSIsIjEiOjAsIjIiOjEsIjMiOjEsIjQiOjEsIjUiOjEsIjYiOjEsIjciOjEsIjgiOjAsIjkiOjEsIjEwIjoxLCIxMSI6MCwiMTIiOjB9</vt:lpwstr>
  </property>
  <property fmtid="{D5CDD505-2E9C-101B-9397-08002B2CF9AE}" pid="10" name="SpreadsheetBuilder_2">
    <vt:lpwstr>eyIwIjoiSGlzdG9yeSIsIjEiOjAsIjIiOjEsIjMiOjEsIjQiOjEsIjUiOjEsIjYiOjEsIjciOjEsIjgiOjAsIjkiOjEsIjEwIjoxLCIxMSI6MCwiMTIiOjB9</vt:lpwstr>
  </property>
  <property fmtid="{D5CDD505-2E9C-101B-9397-08002B2CF9AE}" pid="11" name="SpreadsheetBuilder_3">
    <vt:lpwstr>eyIwIjoiSGlzdG9yeSIsIjEiOjAsIjIiOjEsIjMiOjEsIjQiOjEsIjUiOjEsIjYiOjEsIjciOjEsIjgiOjAsIjkiOjEsIjEwIjoxLCIxMSI6MCwiMTIiOjB9</vt:lpwstr>
  </property>
  <property fmtid="{D5CDD505-2E9C-101B-9397-08002B2CF9AE}" pid="12" name="SpreadsheetBuilder_4">
    <vt:lpwstr>eyIwIjoiSGlzdG9yeSIsIjEiOjAsIjIiOjEsIjMiOjEsIjQiOjEsIjUiOjEsIjYiOjEsIjciOjEsIjgiOjAsIjkiOjEsIjEwIjoxLCIxMSI6MCwiMTIiOjB9</vt:lpwstr>
  </property>
</Properties>
</file>